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slicers/slicer6.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D:\Excel Project 1\"/>
    </mc:Choice>
  </mc:AlternateContent>
  <xr:revisionPtr revIDLastSave="0" documentId="8_{D5C4C3C3-560B-47E8-A247-35CBC73D9FE8}" xr6:coauthVersionLast="47" xr6:coauthVersionMax="47" xr10:uidLastSave="{00000000-0000-0000-0000-000000000000}"/>
  <bookViews>
    <workbookView xWindow="-108" yWindow="-108" windowWidth="23256" windowHeight="13176" firstSheet="4" activeTab="4" xr2:uid="{00000000-000D-0000-FFFF-FFFF00000000}"/>
  </bookViews>
  <sheets>
    <sheet name="Sheet4" sheetId="6" r:id="rId1"/>
    <sheet name="Sheet3" sheetId="5" r:id="rId2"/>
    <sheet name="Sheet2" sheetId="4" r:id="rId3"/>
    <sheet name="Sheet1" sheetId="2" r:id="rId4"/>
    <sheet name="Financial Dashboard" sheetId="3" r:id="rId5"/>
    <sheet name="Sheet5" sheetId="7" r:id="rId6"/>
    <sheet name="Sheet6" sheetId="9" r:id="rId7"/>
    <sheet name="Sheet7" sheetId="10" r:id="rId8"/>
    <sheet name="Sheet8" sheetId="11" r:id="rId9"/>
    <sheet name="Sheet9" sheetId="12" r:id="rId10"/>
    <sheet name="FinancialData" sheetId="1" r:id="rId11"/>
  </sheets>
  <definedNames>
    <definedName name="_xlnm._FilterDatabase" localSheetId="10" hidden="1">FinancialData!$A$1:$T$980</definedName>
    <definedName name="Slicer_Month">#N/A</definedName>
  </definedNames>
  <calcPr calcId="191029"/>
  <pivotCaches>
    <pivotCache cacheId="0"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976" i="1" l="1"/>
  <c r="Q841" i="1"/>
  <c r="Q782" i="1"/>
  <c r="N483" i="1"/>
  <c r="Q434" i="1"/>
  <c r="Q287" i="1"/>
  <c r="N284" i="1"/>
  <c r="Q276" i="1"/>
  <c r="Q219" i="1"/>
  <c r="N85" i="1"/>
</calcChain>
</file>

<file path=xl/sharedStrings.xml><?xml version="1.0" encoding="utf-8"?>
<sst xmlns="http://schemas.openxmlformats.org/spreadsheetml/2006/main" count="10848" uniqueCount="1343">
  <si>
    <t>Transaction ID</t>
  </si>
  <si>
    <t>Transaction Date</t>
  </si>
  <si>
    <t>Customer ID</t>
  </si>
  <si>
    <t>Branch</t>
  </si>
  <si>
    <t>State</t>
  </si>
  <si>
    <t>Account Type</t>
  </si>
  <si>
    <t>Transaction Type</t>
  </si>
  <si>
    <t>Deposit Amount</t>
  </si>
  <si>
    <t>Withdrawal Amount</t>
  </si>
  <si>
    <t>Loan Amount</t>
  </si>
  <si>
    <t>EMI Paid</t>
  </si>
  <si>
    <t>Interest Earned</t>
  </si>
  <si>
    <t>Credit Score</t>
  </si>
  <si>
    <t>Customer Age</t>
  </si>
  <si>
    <t>Customer Gender</t>
  </si>
  <si>
    <t>Annual Income</t>
  </si>
  <si>
    <t>Account Status</t>
  </si>
  <si>
    <t>Loan Status</t>
  </si>
  <si>
    <t>Relationship Manager</t>
  </si>
  <si>
    <t>T100000</t>
  </si>
  <si>
    <t>C1192</t>
  </si>
  <si>
    <t>Delhi</t>
  </si>
  <si>
    <t>Karnataka</t>
  </si>
  <si>
    <t>Current</t>
  </si>
  <si>
    <t>Interest</t>
  </si>
  <si>
    <t>Male</t>
  </si>
  <si>
    <t>Inactive</t>
  </si>
  <si>
    <t>N/A</t>
  </si>
  <si>
    <t>A. Sharma</t>
  </si>
  <si>
    <t>T100001</t>
  </si>
  <si>
    <t>C1264</t>
  </si>
  <si>
    <t>Loan</t>
  </si>
  <si>
    <t>Female</t>
  </si>
  <si>
    <t>Disbursed</t>
  </si>
  <si>
    <t>P. Singh</t>
  </si>
  <si>
    <t>T100002</t>
  </si>
  <si>
    <t>C1254</t>
  </si>
  <si>
    <t>Mumbai</t>
  </si>
  <si>
    <t>Telangana</t>
  </si>
  <si>
    <t>Salary</t>
  </si>
  <si>
    <t>Withdrawal</t>
  </si>
  <si>
    <t>S. Kumar</t>
  </si>
  <si>
    <t>T100003</t>
  </si>
  <si>
    <t>C1231</t>
  </si>
  <si>
    <t>Tamil Nadu</t>
  </si>
  <si>
    <t>R. Patel</t>
  </si>
  <si>
    <t>T100004</t>
  </si>
  <si>
    <t>C1246</t>
  </si>
  <si>
    <t>Chennai</t>
  </si>
  <si>
    <t>Active</t>
  </si>
  <si>
    <t>T100005</t>
  </si>
  <si>
    <t>C1014</t>
  </si>
  <si>
    <t>EMI</t>
  </si>
  <si>
    <t>T100006</t>
  </si>
  <si>
    <t>C1210</t>
  </si>
  <si>
    <t>Pune</t>
  </si>
  <si>
    <t>Deposit</t>
  </si>
  <si>
    <t>T100007</t>
  </si>
  <si>
    <t>C1154</t>
  </si>
  <si>
    <t>Business</t>
  </si>
  <si>
    <t>N. Rao</t>
  </si>
  <si>
    <t>T100008</t>
  </si>
  <si>
    <t>C1296</t>
  </si>
  <si>
    <t>Bengaluru</t>
  </si>
  <si>
    <t>Maharashtra</t>
  </si>
  <si>
    <t>Pending</t>
  </si>
  <si>
    <t>T100009</t>
  </si>
  <si>
    <t>C1064</t>
  </si>
  <si>
    <t>Savings</t>
  </si>
  <si>
    <t>T100010</t>
  </si>
  <si>
    <t>C1002</t>
  </si>
  <si>
    <t>Default</t>
  </si>
  <si>
    <t>T100011</t>
  </si>
  <si>
    <t>C1248</t>
  </si>
  <si>
    <t>Closed</t>
  </si>
  <si>
    <t>T100012</t>
  </si>
  <si>
    <t>C1170</t>
  </si>
  <si>
    <t>Hyderabad</t>
  </si>
  <si>
    <t>T100013</t>
  </si>
  <si>
    <t>T100014</t>
  </si>
  <si>
    <t>C1103</t>
  </si>
  <si>
    <t>T100015</t>
  </si>
  <si>
    <t>C1173</t>
  </si>
  <si>
    <t>T100016</t>
  </si>
  <si>
    <t>C1181</t>
  </si>
  <si>
    <t>C1007</t>
  </si>
  <si>
    <t>T100018</t>
  </si>
  <si>
    <t>C1292</t>
  </si>
  <si>
    <t>T100019</t>
  </si>
  <si>
    <t>C1273</t>
  </si>
  <si>
    <t>T100020</t>
  </si>
  <si>
    <t>C1038</t>
  </si>
  <si>
    <t>T100021</t>
  </si>
  <si>
    <t>C1125</t>
  </si>
  <si>
    <t>T100022</t>
  </si>
  <si>
    <t>T100023</t>
  </si>
  <si>
    <t>C1279</t>
  </si>
  <si>
    <t>T100024</t>
  </si>
  <si>
    <t>C1087</t>
  </si>
  <si>
    <t>T100025</t>
  </si>
  <si>
    <t>C1245</t>
  </si>
  <si>
    <t>T100026</t>
  </si>
  <si>
    <t>C1268</t>
  </si>
  <si>
    <t>T100027</t>
  </si>
  <si>
    <t>C1043</t>
  </si>
  <si>
    <t>T100028</t>
  </si>
  <si>
    <t>C1147</t>
  </si>
  <si>
    <t>T100029</t>
  </si>
  <si>
    <t>C1150</t>
  </si>
  <si>
    <t>T100030</t>
  </si>
  <si>
    <t>C1250</t>
  </si>
  <si>
    <t>T100031</t>
  </si>
  <si>
    <t>C1074</t>
  </si>
  <si>
    <t>T100032</t>
  </si>
  <si>
    <t>C1277</t>
  </si>
  <si>
    <t>T100033</t>
  </si>
  <si>
    <t>C1017</t>
  </si>
  <si>
    <t>T100034</t>
  </si>
  <si>
    <t>C1253</t>
  </si>
  <si>
    <t>T100035</t>
  </si>
  <si>
    <t>C1274</t>
  </si>
  <si>
    <t>T100036</t>
  </si>
  <si>
    <t>C1178</t>
  </si>
  <si>
    <t>T100037</t>
  </si>
  <si>
    <t>C1224</t>
  </si>
  <si>
    <t>T100038</t>
  </si>
  <si>
    <t>C1149</t>
  </si>
  <si>
    <t>T100039</t>
  </si>
  <si>
    <t>T100040</t>
  </si>
  <si>
    <t>C1049</t>
  </si>
  <si>
    <t>T100041</t>
  </si>
  <si>
    <t>T100042</t>
  </si>
  <si>
    <t>C1071</t>
  </si>
  <si>
    <t>T100043</t>
  </si>
  <si>
    <t>C1272</t>
  </si>
  <si>
    <t>T100044</t>
  </si>
  <si>
    <t>C1275</t>
  </si>
  <si>
    <t>T100045</t>
  </si>
  <si>
    <t>C1145</t>
  </si>
  <si>
    <t>T100046</t>
  </si>
  <si>
    <t>C1120</t>
  </si>
  <si>
    <t>T100047</t>
  </si>
  <si>
    <t>T100048</t>
  </si>
  <si>
    <t>T100049</t>
  </si>
  <si>
    <t>T100050</t>
  </si>
  <si>
    <t>C1299</t>
  </si>
  <si>
    <t>T100051</t>
  </si>
  <si>
    <t>T100052</t>
  </si>
  <si>
    <t>C1035</t>
  </si>
  <si>
    <t>T100053</t>
  </si>
  <si>
    <t>C1036</t>
  </si>
  <si>
    <t>T100054</t>
  </si>
  <si>
    <t>C1114</t>
  </si>
  <si>
    <t>T100055</t>
  </si>
  <si>
    <t>T100056</t>
  </si>
  <si>
    <t>C1079</t>
  </si>
  <si>
    <t>T100057</t>
  </si>
  <si>
    <t>C1062</t>
  </si>
  <si>
    <t>T100058</t>
  </si>
  <si>
    <t>C1090</t>
  </si>
  <si>
    <t>T100059</t>
  </si>
  <si>
    <t>C1019</t>
  </si>
  <si>
    <t>T100060</t>
  </si>
  <si>
    <t>C1037</t>
  </si>
  <si>
    <t>T100061</t>
  </si>
  <si>
    <t>C1190</t>
  </si>
  <si>
    <t>T100062</t>
  </si>
  <si>
    <t>C1003</t>
  </si>
  <si>
    <t>T100063</t>
  </si>
  <si>
    <t>C1261</t>
  </si>
  <si>
    <t>T100064</t>
  </si>
  <si>
    <t>C1141</t>
  </si>
  <si>
    <t>T100065</t>
  </si>
  <si>
    <t>C1004</t>
  </si>
  <si>
    <t>T100066</t>
  </si>
  <si>
    <t>C1077</t>
  </si>
  <si>
    <t>T100067</t>
  </si>
  <si>
    <t>C1155</t>
  </si>
  <si>
    <t>T100068</t>
  </si>
  <si>
    <t>C1086</t>
  </si>
  <si>
    <t>T100069</t>
  </si>
  <si>
    <t>C1006</t>
  </si>
  <si>
    <t>T100070</t>
  </si>
  <si>
    <t>C1130</t>
  </si>
  <si>
    <t>T100071</t>
  </si>
  <si>
    <t>T100072</t>
  </si>
  <si>
    <t>T100073</t>
  </si>
  <si>
    <t>C1289</t>
  </si>
  <si>
    <t>T100074</t>
  </si>
  <si>
    <t>C1213</t>
  </si>
  <si>
    <t>T100075</t>
  </si>
  <si>
    <t>C1214</t>
  </si>
  <si>
    <t>T100076</t>
  </si>
  <si>
    <t>T100077</t>
  </si>
  <si>
    <t>C1094</t>
  </si>
  <si>
    <t>T100078</t>
  </si>
  <si>
    <t>T100079</t>
  </si>
  <si>
    <t>T100080</t>
  </si>
  <si>
    <t>C1164</t>
  </si>
  <si>
    <t>T100081</t>
  </si>
  <si>
    <t>C1104</t>
  </si>
  <si>
    <t>T100082</t>
  </si>
  <si>
    <t>C1221</t>
  </si>
  <si>
    <t>T100083</t>
  </si>
  <si>
    <t>C1207</t>
  </si>
  <si>
    <t>T100084</t>
  </si>
  <si>
    <t>T100085</t>
  </si>
  <si>
    <t>C1144</t>
  </si>
  <si>
    <t>T100086</t>
  </si>
  <si>
    <t>C1204</t>
  </si>
  <si>
    <t>T100087</t>
  </si>
  <si>
    <t>C1059</t>
  </si>
  <si>
    <t>T100088</t>
  </si>
  <si>
    <t>C1041</t>
  </si>
  <si>
    <t>T100089</t>
  </si>
  <si>
    <t>C1168</t>
  </si>
  <si>
    <t>T100090</t>
  </si>
  <si>
    <t>C1202</t>
  </si>
  <si>
    <t>T100091</t>
  </si>
  <si>
    <t>C1252</t>
  </si>
  <si>
    <t>T100092</t>
  </si>
  <si>
    <t>C1132</t>
  </si>
  <si>
    <t>T100093</t>
  </si>
  <si>
    <t>C1047</t>
  </si>
  <si>
    <t>T100094</t>
  </si>
  <si>
    <t>C1194</t>
  </si>
  <si>
    <t>T100095</t>
  </si>
  <si>
    <t>C1166</t>
  </si>
  <si>
    <t>T100096</t>
  </si>
  <si>
    <t>C1070</t>
  </si>
  <si>
    <t>T100097</t>
  </si>
  <si>
    <t>C1057</t>
  </si>
  <si>
    <t>T100098</t>
  </si>
  <si>
    <t>C1100</t>
  </si>
  <si>
    <t>T100099</t>
  </si>
  <si>
    <t>C1131</t>
  </si>
  <si>
    <t>T100100</t>
  </si>
  <si>
    <t>C1051</t>
  </si>
  <si>
    <t>T100101</t>
  </si>
  <si>
    <t>T100102</t>
  </si>
  <si>
    <t>C1118</t>
  </si>
  <si>
    <t>T100103</t>
  </si>
  <si>
    <t>C1048</t>
  </si>
  <si>
    <t>T100104</t>
  </si>
  <si>
    <t>C1285</t>
  </si>
  <si>
    <t>T100105</t>
  </si>
  <si>
    <t>T100106</t>
  </si>
  <si>
    <t>C1287</t>
  </si>
  <si>
    <t>T100107</t>
  </si>
  <si>
    <t>C1021</t>
  </si>
  <si>
    <t>T100108</t>
  </si>
  <si>
    <t>C1236</t>
  </si>
  <si>
    <t>T100109</t>
  </si>
  <si>
    <t>C1133</t>
  </si>
  <si>
    <t>T100110</t>
  </si>
  <si>
    <t>T100111</t>
  </si>
  <si>
    <t>C1163</t>
  </si>
  <si>
    <t>T100112</t>
  </si>
  <si>
    <t>C1156</t>
  </si>
  <si>
    <t>T100113</t>
  </si>
  <si>
    <t>T100114</t>
  </si>
  <si>
    <t>T100115</t>
  </si>
  <si>
    <t>C1107</t>
  </si>
  <si>
    <t>T100116</t>
  </si>
  <si>
    <t>C1075</t>
  </si>
  <si>
    <t>T100117</t>
  </si>
  <si>
    <t>C1013</t>
  </si>
  <si>
    <t>T100118</t>
  </si>
  <si>
    <t>C1137</t>
  </si>
  <si>
    <t>T100119</t>
  </si>
  <si>
    <t>C1020</t>
  </si>
  <si>
    <t>T100120</t>
  </si>
  <si>
    <t>C1050</t>
  </si>
  <si>
    <t>T100121</t>
  </si>
  <si>
    <t>C1222</t>
  </si>
  <si>
    <t>T100122</t>
  </si>
  <si>
    <t>C1135</t>
  </si>
  <si>
    <t>T100123</t>
  </si>
  <si>
    <t>C1235</t>
  </si>
  <si>
    <t>C1126</t>
  </si>
  <si>
    <t>T100125</t>
  </si>
  <si>
    <t>C1271</t>
  </si>
  <si>
    <t>T100126</t>
  </si>
  <si>
    <t>C1212</t>
  </si>
  <si>
    <t>T100127</t>
  </si>
  <si>
    <t>T100128</t>
  </si>
  <si>
    <t>C1197</t>
  </si>
  <si>
    <t>T100129</t>
  </si>
  <si>
    <t>T100130</t>
  </si>
  <si>
    <t>T100131</t>
  </si>
  <si>
    <t>T100132</t>
  </si>
  <si>
    <t>C1065</t>
  </si>
  <si>
    <t>T100133</t>
  </si>
  <si>
    <t>C1238</t>
  </si>
  <si>
    <t>T100134</t>
  </si>
  <si>
    <t>T100135</t>
  </si>
  <si>
    <t>T100136</t>
  </si>
  <si>
    <t>C1176</t>
  </si>
  <si>
    <t>T100137</t>
  </si>
  <si>
    <t>C1284</t>
  </si>
  <si>
    <t>T100138</t>
  </si>
  <si>
    <t>T100139</t>
  </si>
  <si>
    <t>T100140</t>
  </si>
  <si>
    <t>C1282</t>
  </si>
  <si>
    <t>T100141</t>
  </si>
  <si>
    <t>C1146</t>
  </si>
  <si>
    <t>T100142</t>
  </si>
  <si>
    <t>T100143</t>
  </si>
  <si>
    <t>C1167</t>
  </si>
  <si>
    <t>T100144</t>
  </si>
  <si>
    <t>T100145</t>
  </si>
  <si>
    <t>T100146</t>
  </si>
  <si>
    <t>C1223</t>
  </si>
  <si>
    <t>T100147</t>
  </si>
  <si>
    <t>T100148</t>
  </si>
  <si>
    <t>C1115</t>
  </si>
  <si>
    <t>T100149</t>
  </si>
  <si>
    <t>T100150</t>
  </si>
  <si>
    <t>T100151</t>
  </si>
  <si>
    <t>C1138</t>
  </si>
  <si>
    <t>T100152</t>
  </si>
  <si>
    <t>T100153</t>
  </si>
  <si>
    <t>T100154</t>
  </si>
  <si>
    <t>T100155</t>
  </si>
  <si>
    <t>C1219</t>
  </si>
  <si>
    <t>T100156</t>
  </si>
  <si>
    <t>C1056</t>
  </si>
  <si>
    <t>T100157</t>
  </si>
  <si>
    <t>C1193</t>
  </si>
  <si>
    <t>T100158</t>
  </si>
  <si>
    <t>C1225</t>
  </si>
  <si>
    <t>T100159</t>
  </si>
  <si>
    <t>C1198</t>
  </si>
  <si>
    <t>T100160</t>
  </si>
  <si>
    <t>T100161</t>
  </si>
  <si>
    <t>C1259</t>
  </si>
  <si>
    <t>T100162</t>
  </si>
  <si>
    <t>C1033</t>
  </si>
  <si>
    <t>T100163</t>
  </si>
  <si>
    <t>C1068</t>
  </si>
  <si>
    <t>T100164</t>
  </si>
  <si>
    <t>T100165</t>
  </si>
  <si>
    <t>C1121</t>
  </si>
  <si>
    <t>T100166</t>
  </si>
  <si>
    <t>C1001</t>
  </si>
  <si>
    <t>T100167</t>
  </si>
  <si>
    <t>C1140</t>
  </si>
  <si>
    <t>T100168</t>
  </si>
  <si>
    <t>C1255</t>
  </si>
  <si>
    <t>T100169</t>
  </si>
  <si>
    <t>C1092</t>
  </si>
  <si>
    <t>T100170</t>
  </si>
  <si>
    <t>T100171</t>
  </si>
  <si>
    <t>T100172</t>
  </si>
  <si>
    <t>C1280</t>
  </si>
  <si>
    <t>T100173</t>
  </si>
  <si>
    <t>T100174</t>
  </si>
  <si>
    <t>C1234</t>
  </si>
  <si>
    <t>T100175</t>
  </si>
  <si>
    <t>T100176</t>
  </si>
  <si>
    <t>C1215</t>
  </si>
  <si>
    <t>T100177</t>
  </si>
  <si>
    <t>C1031</t>
  </si>
  <si>
    <t>T100178</t>
  </si>
  <si>
    <t>C1012</t>
  </si>
  <si>
    <t>T100179</t>
  </si>
  <si>
    <t>T100180</t>
  </si>
  <si>
    <t>T100181</t>
  </si>
  <si>
    <t>T100182</t>
  </si>
  <si>
    <t>T100183</t>
  </si>
  <si>
    <t>C1102</t>
  </si>
  <si>
    <t>T100184</t>
  </si>
  <si>
    <t>T100185</t>
  </si>
  <si>
    <t>T100186</t>
  </si>
  <si>
    <t>C1005</t>
  </si>
  <si>
    <t>T100187</t>
  </si>
  <si>
    <t>C1247</t>
  </si>
  <si>
    <t>T100188</t>
  </si>
  <si>
    <t>C1206</t>
  </si>
  <si>
    <t>T100189</t>
  </si>
  <si>
    <t>C1054</t>
  </si>
  <si>
    <t>T100190</t>
  </si>
  <si>
    <t>C1240</t>
  </si>
  <si>
    <t>T100191</t>
  </si>
  <si>
    <t>T100193</t>
  </si>
  <si>
    <t>C1081</t>
  </si>
  <si>
    <t>T100194</t>
  </si>
  <si>
    <t>T100195</t>
  </si>
  <si>
    <t>C1209</t>
  </si>
  <si>
    <t>T100196</t>
  </si>
  <si>
    <t>T100197</t>
  </si>
  <si>
    <t>T100198</t>
  </si>
  <si>
    <t>C1112</t>
  </si>
  <si>
    <t>T100199</t>
  </si>
  <si>
    <t>T100200</t>
  </si>
  <si>
    <t>C1157</t>
  </si>
  <si>
    <t>T100201</t>
  </si>
  <si>
    <t>T100202</t>
  </si>
  <si>
    <t>T100203</t>
  </si>
  <si>
    <t>T100204</t>
  </si>
  <si>
    <t>T100205</t>
  </si>
  <si>
    <t>T100206</t>
  </si>
  <si>
    <t>T100207</t>
  </si>
  <si>
    <t>C1008</t>
  </si>
  <si>
    <t>T100208</t>
  </si>
  <si>
    <t>T100209</t>
  </si>
  <si>
    <t>C1110</t>
  </si>
  <si>
    <t>T100210</t>
  </si>
  <si>
    <t>T100211</t>
  </si>
  <si>
    <t>C1270</t>
  </si>
  <si>
    <t>T100212</t>
  </si>
  <si>
    <t>T100213</t>
  </si>
  <si>
    <t>T100214</t>
  </si>
  <si>
    <t>T100215</t>
  </si>
  <si>
    <t>C1034</t>
  </si>
  <si>
    <t>T100216</t>
  </si>
  <si>
    <t>C1159</t>
  </si>
  <si>
    <t>T100217</t>
  </si>
  <si>
    <t>T100218</t>
  </si>
  <si>
    <t>T100219</t>
  </si>
  <si>
    <t>C1293</t>
  </si>
  <si>
    <t>T100220</t>
  </si>
  <si>
    <t>C1124</t>
  </si>
  <si>
    <t>T100221</t>
  </si>
  <si>
    <t>T100222</t>
  </si>
  <si>
    <t>T100223</t>
  </si>
  <si>
    <t>C1082</t>
  </si>
  <si>
    <t>T100224</t>
  </si>
  <si>
    <t>T100225</t>
  </si>
  <si>
    <t>T100226</t>
  </si>
  <si>
    <t>C1063</t>
  </si>
  <si>
    <t>T100227</t>
  </si>
  <si>
    <t>T100228</t>
  </si>
  <si>
    <t>T100229</t>
  </si>
  <si>
    <t>C1078</t>
  </si>
  <si>
    <t>T100230</t>
  </si>
  <si>
    <t>C1119</t>
  </si>
  <si>
    <t>T100232</t>
  </si>
  <si>
    <t>C1109</t>
  </si>
  <si>
    <t>T100233</t>
  </si>
  <si>
    <t>T100234</t>
  </si>
  <si>
    <t>T100235</t>
  </si>
  <si>
    <t>T100236</t>
  </si>
  <si>
    <t>C1073</t>
  </si>
  <si>
    <t>T100237</t>
  </si>
  <si>
    <t>C1080</t>
  </si>
  <si>
    <t>T100238</t>
  </si>
  <si>
    <t>T100239</t>
  </si>
  <si>
    <t>C1201</t>
  </si>
  <si>
    <t>T100240</t>
  </si>
  <si>
    <t>T100241</t>
  </si>
  <si>
    <t>T100242</t>
  </si>
  <si>
    <t>C1028</t>
  </si>
  <si>
    <t>T100243</t>
  </si>
  <si>
    <t>C1160</t>
  </si>
  <si>
    <t>T100244</t>
  </si>
  <si>
    <t>T100245</t>
  </si>
  <si>
    <t>C1185</t>
  </si>
  <si>
    <t>T100246</t>
  </si>
  <si>
    <t>T100247</t>
  </si>
  <si>
    <t>T100248</t>
  </si>
  <si>
    <t>T100249</t>
  </si>
  <si>
    <t>C1228</t>
  </si>
  <si>
    <t>T100250</t>
  </si>
  <si>
    <t>C1106</t>
  </si>
  <si>
    <t>T100251</t>
  </si>
  <si>
    <t>T100252</t>
  </si>
  <si>
    <t>T100253</t>
  </si>
  <si>
    <t>T100254</t>
  </si>
  <si>
    <t>T100255</t>
  </si>
  <si>
    <t>T100256</t>
  </si>
  <si>
    <t>T100257</t>
  </si>
  <si>
    <t>T100258</t>
  </si>
  <si>
    <t>T100259</t>
  </si>
  <si>
    <t>T100260</t>
  </si>
  <si>
    <t>C1249</t>
  </si>
  <si>
    <t>T100261</t>
  </si>
  <si>
    <t>T100262</t>
  </si>
  <si>
    <t>T100263</t>
  </si>
  <si>
    <t>T100264</t>
  </si>
  <si>
    <t>C1233</t>
  </si>
  <si>
    <t>T100265</t>
  </si>
  <si>
    <t>T100266</t>
  </si>
  <si>
    <t>T100267</t>
  </si>
  <si>
    <t>T100268</t>
  </si>
  <si>
    <t>T100269</t>
  </si>
  <si>
    <t>C1237</t>
  </si>
  <si>
    <t>T100270</t>
  </si>
  <si>
    <t>C1216</t>
  </si>
  <si>
    <t>T100271</t>
  </si>
  <si>
    <t>C1191</t>
  </si>
  <si>
    <t>T100272</t>
  </si>
  <si>
    <t>T100273</t>
  </si>
  <si>
    <t>C1281</t>
  </si>
  <si>
    <t>T100274</t>
  </si>
  <si>
    <t>C1101</t>
  </si>
  <si>
    <t>T100275</t>
  </si>
  <si>
    <t>T100276</t>
  </si>
  <si>
    <t>T100277</t>
  </si>
  <si>
    <t>C1189</t>
  </si>
  <si>
    <t>T100278</t>
  </si>
  <si>
    <t>T100279</t>
  </si>
  <si>
    <t>C1243</t>
  </si>
  <si>
    <t>T100280</t>
  </si>
  <si>
    <t>T100281</t>
  </si>
  <si>
    <t>C1088</t>
  </si>
  <si>
    <t>T100282</t>
  </si>
  <si>
    <t>T100283</t>
  </si>
  <si>
    <t>T100284</t>
  </si>
  <si>
    <t>C1211</t>
  </si>
  <si>
    <t>T100285</t>
  </si>
  <si>
    <t>C1027</t>
  </si>
  <si>
    <t>T100286</t>
  </si>
  <si>
    <t>T100287</t>
  </si>
  <si>
    <t>T100288</t>
  </si>
  <si>
    <t>T100289</t>
  </si>
  <si>
    <t>T100290</t>
  </si>
  <si>
    <t>T100291</t>
  </si>
  <si>
    <t>C1199</t>
  </si>
  <si>
    <t>T100292</t>
  </si>
  <si>
    <t>T100293</t>
  </si>
  <si>
    <t>C1010</t>
  </si>
  <si>
    <t>T100294</t>
  </si>
  <si>
    <t>T100295</t>
  </si>
  <si>
    <t>C1196</t>
  </si>
  <si>
    <t>T100296</t>
  </si>
  <si>
    <t>C1030</t>
  </si>
  <si>
    <t>T100297</t>
  </si>
  <si>
    <t>T100298</t>
  </si>
  <si>
    <t>T100299</t>
  </si>
  <si>
    <t>T100300</t>
  </si>
  <si>
    <t>C1291</t>
  </si>
  <si>
    <t>T100301</t>
  </si>
  <si>
    <t>C1096</t>
  </si>
  <si>
    <t>T100302</t>
  </si>
  <si>
    <t>C1266</t>
  </si>
  <si>
    <t>T100303</t>
  </si>
  <si>
    <t>C1286</t>
  </si>
  <si>
    <t>T100304</t>
  </si>
  <si>
    <t>T100305</t>
  </si>
  <si>
    <t>T100306</t>
  </si>
  <si>
    <t>T100307</t>
  </si>
  <si>
    <t>T100308</t>
  </si>
  <si>
    <t>T100309</t>
  </si>
  <si>
    <t>T100310</t>
  </si>
  <si>
    <t>C1129</t>
  </si>
  <si>
    <t>T100311</t>
  </si>
  <si>
    <t>T100312</t>
  </si>
  <si>
    <t>T100313</t>
  </si>
  <si>
    <t>T100314</t>
  </si>
  <si>
    <t>T100315</t>
  </si>
  <si>
    <t>T100316</t>
  </si>
  <si>
    <t>T100317</t>
  </si>
  <si>
    <t>C1040</t>
  </si>
  <si>
    <t>T100318</t>
  </si>
  <si>
    <t>T100319</t>
  </si>
  <si>
    <t>C1169</t>
  </si>
  <si>
    <t>T100320</t>
  </si>
  <si>
    <t>C1183</t>
  </si>
  <si>
    <t>T100321</t>
  </si>
  <si>
    <t>T100323</t>
  </si>
  <si>
    <t>C1032</t>
  </si>
  <si>
    <t>T100324</t>
  </si>
  <si>
    <t>T100325</t>
  </si>
  <si>
    <t>C1000</t>
  </si>
  <si>
    <t>T100326</t>
  </si>
  <si>
    <t>T100327</t>
  </si>
  <si>
    <t>T100328</t>
  </si>
  <si>
    <t>C1127</t>
  </si>
  <si>
    <t>T100329</t>
  </si>
  <si>
    <t>T100330</t>
  </si>
  <si>
    <t>T100331</t>
  </si>
  <si>
    <t>T100332</t>
  </si>
  <si>
    <t>T100333</t>
  </si>
  <si>
    <t>T100334</t>
  </si>
  <si>
    <t>T100335</t>
  </si>
  <si>
    <t>T100336</t>
  </si>
  <si>
    <t>T100337</t>
  </si>
  <si>
    <t>C1232</t>
  </si>
  <si>
    <t>T100338</t>
  </si>
  <si>
    <t>C1084</t>
  </si>
  <si>
    <t>T100340</t>
  </si>
  <si>
    <t>C1009</t>
  </si>
  <si>
    <t>T100341</t>
  </si>
  <si>
    <t>T100342</t>
  </si>
  <si>
    <t>T100343</t>
  </si>
  <si>
    <t>T100344</t>
  </si>
  <si>
    <t>T100345</t>
  </si>
  <si>
    <t>C1023</t>
  </si>
  <si>
    <t>T100346</t>
  </si>
  <si>
    <t>T100347</t>
  </si>
  <si>
    <t>T100348</t>
  </si>
  <si>
    <t>C1294</t>
  </si>
  <si>
    <t>T100349</t>
  </si>
  <si>
    <t>T100350</t>
  </si>
  <si>
    <t>T100351</t>
  </si>
  <si>
    <t>T100352</t>
  </si>
  <si>
    <t>C1113</t>
  </si>
  <si>
    <t>T100353</t>
  </si>
  <si>
    <t>T100354</t>
  </si>
  <si>
    <t>T100355</t>
  </si>
  <si>
    <t>C1242</t>
  </si>
  <si>
    <t>T100356</t>
  </si>
  <si>
    <t>T100357</t>
  </si>
  <si>
    <t>C1029</t>
  </si>
  <si>
    <t>T100358</t>
  </si>
  <si>
    <t>C1230</t>
  </si>
  <si>
    <t>T100359</t>
  </si>
  <si>
    <t>T100360</t>
  </si>
  <si>
    <t>T100361</t>
  </si>
  <si>
    <t>T100362</t>
  </si>
  <si>
    <t>T100363</t>
  </si>
  <si>
    <t>T100364</t>
  </si>
  <si>
    <t>C1241</t>
  </si>
  <si>
    <t>T100365</t>
  </si>
  <si>
    <t>C1217</t>
  </si>
  <si>
    <t>T100366</t>
  </si>
  <si>
    <t>T100367</t>
  </si>
  <si>
    <t>T100368</t>
  </si>
  <si>
    <t>T100369</t>
  </si>
  <si>
    <t>C1016</t>
  </si>
  <si>
    <t>T100370</t>
  </si>
  <si>
    <t>C1265</t>
  </si>
  <si>
    <t>T100371</t>
  </si>
  <si>
    <t>T100372</t>
  </si>
  <si>
    <t>C1182</t>
  </si>
  <si>
    <t>T100373</t>
  </si>
  <si>
    <t>C1288</t>
  </si>
  <si>
    <t>T100374</t>
  </si>
  <si>
    <t>C1239</t>
  </si>
  <si>
    <t>T100375</t>
  </si>
  <si>
    <t>C1045</t>
  </si>
  <si>
    <t>T100376</t>
  </si>
  <si>
    <t>C1200</t>
  </si>
  <si>
    <t>T100377</t>
  </si>
  <si>
    <t>T100378</t>
  </si>
  <si>
    <t>T100379</t>
  </si>
  <si>
    <t>T100380</t>
  </si>
  <si>
    <t>T100381</t>
  </si>
  <si>
    <t>T100382</t>
  </si>
  <si>
    <t>C1180</t>
  </si>
  <si>
    <t>T100383</t>
  </si>
  <si>
    <t>T100384</t>
  </si>
  <si>
    <t>C1039</t>
  </si>
  <si>
    <t>T100385</t>
  </si>
  <si>
    <t>T100386</t>
  </si>
  <si>
    <t>C1295</t>
  </si>
  <si>
    <t>T100387</t>
  </si>
  <si>
    <t>T100388</t>
  </si>
  <si>
    <t>T100389</t>
  </si>
  <si>
    <t>T100390</t>
  </si>
  <si>
    <t>T100391</t>
  </si>
  <si>
    <t>T100392</t>
  </si>
  <si>
    <t>T100393</t>
  </si>
  <si>
    <t>T100394</t>
  </si>
  <si>
    <t>T100395</t>
  </si>
  <si>
    <t>C1262</t>
  </si>
  <si>
    <t>T100396</t>
  </si>
  <si>
    <t>C1099</t>
  </si>
  <si>
    <t>T100397</t>
  </si>
  <si>
    <t>T100398</t>
  </si>
  <si>
    <t>T100399</t>
  </si>
  <si>
    <t>T100400</t>
  </si>
  <si>
    <t>C1260</t>
  </si>
  <si>
    <t>T100401</t>
  </si>
  <si>
    <t>C1188</t>
  </si>
  <si>
    <t>T100402</t>
  </si>
  <si>
    <t>C1153</t>
  </si>
  <si>
    <t>T100403</t>
  </si>
  <si>
    <t>T100404</t>
  </si>
  <si>
    <t>T100405</t>
  </si>
  <si>
    <t>T100406</t>
  </si>
  <si>
    <t>T100407</t>
  </si>
  <si>
    <t>C1085</t>
  </si>
  <si>
    <t>T100408</t>
  </si>
  <si>
    <t>T100410</t>
  </si>
  <si>
    <t>T100411</t>
  </si>
  <si>
    <t>T100412</t>
  </si>
  <si>
    <t>T100413</t>
  </si>
  <si>
    <t>T100414</t>
  </si>
  <si>
    <t>C1203</t>
  </si>
  <si>
    <t>T100415</t>
  </si>
  <si>
    <t>T100416</t>
  </si>
  <si>
    <t>T100417</t>
  </si>
  <si>
    <t>C1152</t>
  </si>
  <si>
    <t>T100418</t>
  </si>
  <si>
    <t>T100419</t>
  </si>
  <si>
    <t>T100420</t>
  </si>
  <si>
    <t>C1143</t>
  </si>
  <si>
    <t>T100421</t>
  </si>
  <si>
    <t>T100422</t>
  </si>
  <si>
    <t>T100423</t>
  </si>
  <si>
    <t>T100424</t>
  </si>
  <si>
    <t>T100425</t>
  </si>
  <si>
    <t>T100426</t>
  </si>
  <si>
    <t>C1089</t>
  </si>
  <si>
    <t>T100427</t>
  </si>
  <si>
    <t>T100428</t>
  </si>
  <si>
    <t>C1093</t>
  </si>
  <si>
    <t>T100429</t>
  </si>
  <si>
    <t>C1218</t>
  </si>
  <si>
    <t>T100430</t>
  </si>
  <si>
    <t>C1067</t>
  </si>
  <si>
    <t>T100431</t>
  </si>
  <si>
    <t>T100432</t>
  </si>
  <si>
    <t>C1244</t>
  </si>
  <si>
    <t>T100434</t>
  </si>
  <si>
    <t>T100435</t>
  </si>
  <si>
    <t>T100436</t>
  </si>
  <si>
    <t>T100437</t>
  </si>
  <si>
    <t>C1171</t>
  </si>
  <si>
    <t>T100438</t>
  </si>
  <si>
    <t>T100439</t>
  </si>
  <si>
    <t>T100440</t>
  </si>
  <si>
    <t>T100442</t>
  </si>
  <si>
    <t>T100443</t>
  </si>
  <si>
    <t>T100444</t>
  </si>
  <si>
    <t>T100445</t>
  </si>
  <si>
    <t>C1026</t>
  </si>
  <si>
    <t>T100446</t>
  </si>
  <si>
    <t>T100447</t>
  </si>
  <si>
    <t>T100448</t>
  </si>
  <si>
    <t>T100449</t>
  </si>
  <si>
    <t>T100450</t>
  </si>
  <si>
    <t>C1053</t>
  </si>
  <si>
    <t>T100451</t>
  </si>
  <si>
    <t>T100452</t>
  </si>
  <si>
    <t>T100453</t>
  </si>
  <si>
    <t>T100454</t>
  </si>
  <si>
    <t>C1117</t>
  </si>
  <si>
    <t>T100455</t>
  </si>
  <si>
    <t>T100456</t>
  </si>
  <si>
    <t>T100457</t>
  </si>
  <si>
    <t>T100458</t>
  </si>
  <si>
    <t>T100459</t>
  </si>
  <si>
    <t>T100460</t>
  </si>
  <si>
    <t>T100461</t>
  </si>
  <si>
    <t>T100462</t>
  </si>
  <si>
    <t>C1278</t>
  </si>
  <si>
    <t>T100463</t>
  </si>
  <si>
    <t>C1161</t>
  </si>
  <si>
    <t>T100464</t>
  </si>
  <si>
    <t>T100465</t>
  </si>
  <si>
    <t>T100467</t>
  </si>
  <si>
    <t>T100468</t>
  </si>
  <si>
    <t>T100469</t>
  </si>
  <si>
    <t>T100470</t>
  </si>
  <si>
    <t>T100471</t>
  </si>
  <si>
    <t>T100472</t>
  </si>
  <si>
    <t>T100473</t>
  </si>
  <si>
    <t>T100474</t>
  </si>
  <si>
    <t>T100475</t>
  </si>
  <si>
    <t>T100476</t>
  </si>
  <si>
    <t>T100477</t>
  </si>
  <si>
    <t>C1015</t>
  </si>
  <si>
    <t>T100478</t>
  </si>
  <si>
    <t>T100479</t>
  </si>
  <si>
    <t>T100480</t>
  </si>
  <si>
    <t>T100481</t>
  </si>
  <si>
    <t>T100482</t>
  </si>
  <si>
    <t>C1220</t>
  </si>
  <si>
    <t>T100483</t>
  </si>
  <si>
    <t>C1186</t>
  </si>
  <si>
    <t>T100484</t>
  </si>
  <si>
    <t>T100485</t>
  </si>
  <si>
    <t>T100486</t>
  </si>
  <si>
    <t>T100487</t>
  </si>
  <si>
    <t>T100488</t>
  </si>
  <si>
    <t>T100489</t>
  </si>
  <si>
    <t>T100490</t>
  </si>
  <si>
    <t>T100491</t>
  </si>
  <si>
    <t>T100492</t>
  </si>
  <si>
    <t>T100493</t>
  </si>
  <si>
    <t>T100494</t>
  </si>
  <si>
    <t>T100495</t>
  </si>
  <si>
    <t>T100496</t>
  </si>
  <si>
    <t>T100497</t>
  </si>
  <si>
    <t>T100498</t>
  </si>
  <si>
    <t>T100499</t>
  </si>
  <si>
    <t>T100500</t>
  </si>
  <si>
    <t>T100501</t>
  </si>
  <si>
    <t>T100502</t>
  </si>
  <si>
    <t>T100503</t>
  </si>
  <si>
    <t>T100504</t>
  </si>
  <si>
    <t>C1148</t>
  </si>
  <si>
    <t>T100505</t>
  </si>
  <si>
    <t>T100506</t>
  </si>
  <si>
    <t>C1134</t>
  </si>
  <si>
    <t>T100507</t>
  </si>
  <si>
    <t>T100508</t>
  </si>
  <si>
    <t>C1257</t>
  </si>
  <si>
    <t>T100509</t>
  </si>
  <si>
    <t>C1142</t>
  </si>
  <si>
    <t>T100510</t>
  </si>
  <si>
    <t>T100511</t>
  </si>
  <si>
    <t>C1097</t>
  </si>
  <si>
    <t>T100512</t>
  </si>
  <si>
    <t>T100513</t>
  </si>
  <si>
    <t>T100514</t>
  </si>
  <si>
    <t>C1158</t>
  </si>
  <si>
    <t>T100515</t>
  </si>
  <si>
    <t>C1072</t>
  </si>
  <si>
    <t>T100516</t>
  </si>
  <si>
    <t>T100517</t>
  </si>
  <si>
    <t>T100518</t>
  </si>
  <si>
    <t>T100519</t>
  </si>
  <si>
    <t>T100520</t>
  </si>
  <si>
    <t>T100521</t>
  </si>
  <si>
    <t>C1165</t>
  </si>
  <si>
    <t>T100522</t>
  </si>
  <si>
    <t>T100523</t>
  </si>
  <si>
    <t>T100524</t>
  </si>
  <si>
    <t>T100525</t>
  </si>
  <si>
    <t>T100526</t>
  </si>
  <si>
    <t>C1076</t>
  </si>
  <si>
    <t>T100527</t>
  </si>
  <si>
    <t>T100528</t>
  </si>
  <si>
    <t>T100529</t>
  </si>
  <si>
    <t>C1175</t>
  </si>
  <si>
    <t>T100530</t>
  </si>
  <si>
    <t>T100531</t>
  </si>
  <si>
    <t>T100532</t>
  </si>
  <si>
    <t>T100533</t>
  </si>
  <si>
    <t>T100534</t>
  </si>
  <si>
    <t>T100535</t>
  </si>
  <si>
    <t>T100536</t>
  </si>
  <si>
    <t>T100537</t>
  </si>
  <si>
    <t>T100538</t>
  </si>
  <si>
    <t>T100539</t>
  </si>
  <si>
    <t>T100540</t>
  </si>
  <si>
    <t>T100541</t>
  </si>
  <si>
    <t>T100542</t>
  </si>
  <si>
    <t>T100543</t>
  </si>
  <si>
    <t>T100544</t>
  </si>
  <si>
    <t>T100545</t>
  </si>
  <si>
    <t>T100546</t>
  </si>
  <si>
    <t>T100547</t>
  </si>
  <si>
    <t>T100548</t>
  </si>
  <si>
    <t>T100549</t>
  </si>
  <si>
    <t>C1179</t>
  </si>
  <si>
    <t>T100550</t>
  </si>
  <si>
    <t>T100551</t>
  </si>
  <si>
    <t>T100552</t>
  </si>
  <si>
    <t>T100553</t>
  </si>
  <si>
    <t>T100554</t>
  </si>
  <si>
    <t>T100555</t>
  </si>
  <si>
    <t>C1267</t>
  </si>
  <si>
    <t>T100556</t>
  </si>
  <si>
    <t>T100557</t>
  </si>
  <si>
    <t>T100558</t>
  </si>
  <si>
    <t>T100559</t>
  </si>
  <si>
    <t>C1136</t>
  </si>
  <si>
    <t>T100560</t>
  </si>
  <si>
    <t>T100561</t>
  </si>
  <si>
    <t>T100562</t>
  </si>
  <si>
    <t>T100564</t>
  </si>
  <si>
    <t>T100565</t>
  </si>
  <si>
    <t>T100566</t>
  </si>
  <si>
    <t>T100567</t>
  </si>
  <si>
    <t>T100568</t>
  </si>
  <si>
    <t>T100569</t>
  </si>
  <si>
    <t>T100570</t>
  </si>
  <si>
    <t>T100571</t>
  </si>
  <si>
    <t>C1298</t>
  </si>
  <si>
    <t>T100572</t>
  </si>
  <si>
    <t>T100573</t>
  </si>
  <si>
    <t>T100574</t>
  </si>
  <si>
    <t>T100575</t>
  </si>
  <si>
    <t>T100576</t>
  </si>
  <si>
    <t>T100577</t>
  </si>
  <si>
    <t>T100578</t>
  </si>
  <si>
    <t>T100579</t>
  </si>
  <si>
    <t>T100580</t>
  </si>
  <si>
    <t>T100581</t>
  </si>
  <si>
    <t>T100582</t>
  </si>
  <si>
    <t>T100583</t>
  </si>
  <si>
    <t>T100584</t>
  </si>
  <si>
    <t>T100585</t>
  </si>
  <si>
    <t>T100586</t>
  </si>
  <si>
    <t>C1083</t>
  </si>
  <si>
    <t>T100587</t>
  </si>
  <si>
    <t>T100588</t>
  </si>
  <si>
    <t>C1066</t>
  </si>
  <si>
    <t>T100589</t>
  </si>
  <si>
    <t>C1055</t>
  </si>
  <si>
    <t>T100590</t>
  </si>
  <si>
    <t>T100591</t>
  </si>
  <si>
    <t>T100592</t>
  </si>
  <si>
    <t>T100593</t>
  </si>
  <si>
    <t>T100594</t>
  </si>
  <si>
    <t>T100595</t>
  </si>
  <si>
    <t>T100596</t>
  </si>
  <si>
    <t>T100597</t>
  </si>
  <si>
    <t>T100598</t>
  </si>
  <si>
    <t>T100599</t>
  </si>
  <si>
    <t>T100600</t>
  </si>
  <si>
    <t>T100601</t>
  </si>
  <si>
    <t>T100602</t>
  </si>
  <si>
    <t>T100603</t>
  </si>
  <si>
    <t>T100605</t>
  </si>
  <si>
    <t>T100606</t>
  </si>
  <si>
    <t>T100608</t>
  </si>
  <si>
    <t>C1177</t>
  </si>
  <si>
    <t>T100609</t>
  </si>
  <si>
    <t>T100610</t>
  </si>
  <si>
    <t>C1111</t>
  </si>
  <si>
    <t>T100611</t>
  </si>
  <si>
    <t>T100612</t>
  </si>
  <si>
    <t>T100613</t>
  </si>
  <si>
    <t>T100614</t>
  </si>
  <si>
    <t>T100615</t>
  </si>
  <si>
    <t>T100616</t>
  </si>
  <si>
    <t>T100617</t>
  </si>
  <si>
    <t>T100618</t>
  </si>
  <si>
    <t>C1022</t>
  </si>
  <si>
    <t>T100619</t>
  </si>
  <si>
    <t>T100620</t>
  </si>
  <si>
    <t>T100621</t>
  </si>
  <si>
    <t>T100622</t>
  </si>
  <si>
    <t>T100623</t>
  </si>
  <si>
    <t>T100624</t>
  </si>
  <si>
    <t>T100625</t>
  </si>
  <si>
    <t>T100626</t>
  </si>
  <si>
    <t>T100627</t>
  </si>
  <si>
    <t>T100628</t>
  </si>
  <si>
    <t>T100629</t>
  </si>
  <si>
    <t>T100630</t>
  </si>
  <si>
    <t>T100631</t>
  </si>
  <si>
    <t>T100632</t>
  </si>
  <si>
    <t>T100633</t>
  </si>
  <si>
    <t>T100634</t>
  </si>
  <si>
    <t>C1195</t>
  </si>
  <si>
    <t>T100635</t>
  </si>
  <si>
    <t>T100636</t>
  </si>
  <si>
    <t>T100637</t>
  </si>
  <si>
    <t>T100638</t>
  </si>
  <si>
    <t>T100639</t>
  </si>
  <si>
    <t>T100640</t>
  </si>
  <si>
    <t>T100641</t>
  </si>
  <si>
    <t>T100642</t>
  </si>
  <si>
    <t>T100643</t>
  </si>
  <si>
    <t>T100644</t>
  </si>
  <si>
    <t>T100645</t>
  </si>
  <si>
    <t>T100646</t>
  </si>
  <si>
    <t>T100647</t>
  </si>
  <si>
    <t>C1046</t>
  </si>
  <si>
    <t>T100648</t>
  </si>
  <si>
    <t>T100649</t>
  </si>
  <si>
    <t>T100651</t>
  </si>
  <si>
    <t>T100652</t>
  </si>
  <si>
    <t>T100653</t>
  </si>
  <si>
    <t>T100654</t>
  </si>
  <si>
    <t>T100655</t>
  </si>
  <si>
    <t>T100656</t>
  </si>
  <si>
    <t>T100657</t>
  </si>
  <si>
    <t>T100658</t>
  </si>
  <si>
    <t>T100659</t>
  </si>
  <si>
    <t>T100660</t>
  </si>
  <si>
    <t>T100661</t>
  </si>
  <si>
    <t>T100662</t>
  </si>
  <si>
    <t>T100663</t>
  </si>
  <si>
    <t>T100664</t>
  </si>
  <si>
    <t>T100665</t>
  </si>
  <si>
    <t>T100666</t>
  </si>
  <si>
    <t>T100667</t>
  </si>
  <si>
    <t>C1123</t>
  </si>
  <si>
    <t>T100669</t>
  </si>
  <si>
    <t>T100670</t>
  </si>
  <si>
    <t>T100671</t>
  </si>
  <si>
    <t>T100672</t>
  </si>
  <si>
    <t>T100673</t>
  </si>
  <si>
    <t>T100674</t>
  </si>
  <si>
    <t>T100675</t>
  </si>
  <si>
    <t>T100676</t>
  </si>
  <si>
    <t>T100677</t>
  </si>
  <si>
    <t>T100678</t>
  </si>
  <si>
    <t>T100679</t>
  </si>
  <si>
    <t>T100680</t>
  </si>
  <si>
    <t>C1058</t>
  </si>
  <si>
    <t>T100682</t>
  </si>
  <si>
    <t>T100683</t>
  </si>
  <si>
    <t>T100684</t>
  </si>
  <si>
    <t>T100685</t>
  </si>
  <si>
    <t>T100686</t>
  </si>
  <si>
    <t>C1024</t>
  </si>
  <si>
    <t>T100687</t>
  </si>
  <si>
    <t>C1283</t>
  </si>
  <si>
    <t>T100688</t>
  </si>
  <si>
    <t>T100689</t>
  </si>
  <si>
    <t>T100690</t>
  </si>
  <si>
    <t>C1091</t>
  </si>
  <si>
    <t>T100691</t>
  </si>
  <si>
    <t>T100692</t>
  </si>
  <si>
    <t>T100693</t>
  </si>
  <si>
    <t>T100694</t>
  </si>
  <si>
    <t>T100695</t>
  </si>
  <si>
    <t>C1290</t>
  </si>
  <si>
    <t>T100696</t>
  </si>
  <si>
    <t>T100697</t>
  </si>
  <si>
    <t>T100698</t>
  </si>
  <si>
    <t>T100699</t>
  </si>
  <si>
    <t>T100700</t>
  </si>
  <si>
    <t>T100701</t>
  </si>
  <si>
    <t>T100702</t>
  </si>
  <si>
    <t>T100703</t>
  </si>
  <si>
    <t>T100704</t>
  </si>
  <si>
    <t>T100705</t>
  </si>
  <si>
    <t>T100706</t>
  </si>
  <si>
    <t>T100707</t>
  </si>
  <si>
    <t>T100708</t>
  </si>
  <si>
    <t>T100709</t>
  </si>
  <si>
    <t>T100710</t>
  </si>
  <si>
    <t>T100711</t>
  </si>
  <si>
    <t>T100712</t>
  </si>
  <si>
    <t>T100713</t>
  </si>
  <si>
    <t>T100714</t>
  </si>
  <si>
    <t>C1184</t>
  </si>
  <si>
    <t>T100715</t>
  </si>
  <si>
    <t>C1205</t>
  </si>
  <si>
    <t>T100716</t>
  </si>
  <si>
    <t>T100717</t>
  </si>
  <si>
    <t>T100718</t>
  </si>
  <si>
    <t>T100719</t>
  </si>
  <si>
    <t>T100720</t>
  </si>
  <si>
    <t>T100721</t>
  </si>
  <si>
    <t>T100722</t>
  </si>
  <si>
    <t>T100723</t>
  </si>
  <si>
    <t>T100724</t>
  </si>
  <si>
    <t>T100725</t>
  </si>
  <si>
    <t>T100726</t>
  </si>
  <si>
    <t>T100727</t>
  </si>
  <si>
    <t>C1139</t>
  </si>
  <si>
    <t>T100728</t>
  </si>
  <si>
    <t>T100729</t>
  </si>
  <si>
    <t>T100730</t>
  </si>
  <si>
    <t>T100731</t>
  </si>
  <si>
    <t>T100732</t>
  </si>
  <si>
    <t>C1172</t>
  </si>
  <si>
    <t>T100733</t>
  </si>
  <si>
    <t>T100734</t>
  </si>
  <si>
    <t>T100735</t>
  </si>
  <si>
    <t>T100736</t>
  </si>
  <si>
    <t>T100738</t>
  </si>
  <si>
    <t>C1256</t>
  </si>
  <si>
    <t>T100739</t>
  </si>
  <si>
    <t>T100740</t>
  </si>
  <si>
    <t>C1061</t>
  </si>
  <si>
    <t>T100741</t>
  </si>
  <si>
    <t>T100742</t>
  </si>
  <si>
    <t>T100743</t>
  </si>
  <si>
    <t>T100744</t>
  </si>
  <si>
    <t>C1105</t>
  </si>
  <si>
    <t>T100745</t>
  </si>
  <si>
    <t>T100747</t>
  </si>
  <si>
    <t>T100748</t>
  </si>
  <si>
    <t>T100749</t>
  </si>
  <si>
    <t>T100750</t>
  </si>
  <si>
    <t>T100752</t>
  </si>
  <si>
    <t>C1174</t>
  </si>
  <si>
    <t>T100753</t>
  </si>
  <si>
    <t>T100754</t>
  </si>
  <si>
    <t>T100755</t>
  </si>
  <si>
    <t>T100756</t>
  </si>
  <si>
    <t>T100757</t>
  </si>
  <si>
    <t>T100758</t>
  </si>
  <si>
    <t>T100759</t>
  </si>
  <si>
    <t>T100760</t>
  </si>
  <si>
    <t>C1187</t>
  </si>
  <si>
    <t>T100761</t>
  </si>
  <si>
    <t>T100762</t>
  </si>
  <si>
    <t>T100763</t>
  </si>
  <si>
    <t>T100764</t>
  </si>
  <si>
    <t>T100765</t>
  </si>
  <si>
    <t>T100766</t>
  </si>
  <si>
    <t>T100767</t>
  </si>
  <si>
    <t>T100768</t>
  </si>
  <si>
    <t>C1025</t>
  </si>
  <si>
    <t>T100769</t>
  </si>
  <si>
    <t>T100770</t>
  </si>
  <si>
    <t>C1258</t>
  </si>
  <si>
    <t>T100771</t>
  </si>
  <si>
    <t>T100772</t>
  </si>
  <si>
    <t>T100773</t>
  </si>
  <si>
    <t>T100774</t>
  </si>
  <si>
    <t>T100775</t>
  </si>
  <si>
    <t>T100776</t>
  </si>
  <si>
    <t>T100777</t>
  </si>
  <si>
    <t>T100778</t>
  </si>
  <si>
    <t>T100779</t>
  </si>
  <si>
    <t>C1060</t>
  </si>
  <si>
    <t>T100780</t>
  </si>
  <si>
    <t>T100781</t>
  </si>
  <si>
    <t>T100782</t>
  </si>
  <si>
    <t>T100783</t>
  </si>
  <si>
    <t>T100784</t>
  </si>
  <si>
    <t>T100785</t>
  </si>
  <si>
    <t>T100786</t>
  </si>
  <si>
    <t>T100787</t>
  </si>
  <si>
    <t>T100788</t>
  </si>
  <si>
    <t>T100789</t>
  </si>
  <si>
    <t>T100790</t>
  </si>
  <si>
    <t>T100791</t>
  </si>
  <si>
    <t>T100792</t>
  </si>
  <si>
    <t>T100793</t>
  </si>
  <si>
    <t>T100794</t>
  </si>
  <si>
    <t>T100795</t>
  </si>
  <si>
    <t>T100796</t>
  </si>
  <si>
    <t>T100797</t>
  </si>
  <si>
    <t>T100798</t>
  </si>
  <si>
    <t>T100799</t>
  </si>
  <si>
    <t>T100800</t>
  </si>
  <si>
    <t>T100801</t>
  </si>
  <si>
    <t>T100802</t>
  </si>
  <si>
    <t>T100803</t>
  </si>
  <si>
    <t>T100804</t>
  </si>
  <si>
    <t>T100805</t>
  </si>
  <si>
    <t>T100806</t>
  </si>
  <si>
    <t>T100807</t>
  </si>
  <si>
    <t>T100808</t>
  </si>
  <si>
    <t>T100809</t>
  </si>
  <si>
    <t>T100810</t>
  </si>
  <si>
    <t>T100811</t>
  </si>
  <si>
    <t>T100812</t>
  </si>
  <si>
    <t>T100813</t>
  </si>
  <si>
    <t>T100814</t>
  </si>
  <si>
    <t>T100815</t>
  </si>
  <si>
    <t>T100816</t>
  </si>
  <si>
    <t>T100817</t>
  </si>
  <si>
    <t>T100818</t>
  </si>
  <si>
    <t>T100819</t>
  </si>
  <si>
    <t>T100820</t>
  </si>
  <si>
    <t>T100821</t>
  </si>
  <si>
    <t>T100822</t>
  </si>
  <si>
    <t>T100823</t>
  </si>
  <si>
    <t>T100824</t>
  </si>
  <si>
    <t>T100825</t>
  </si>
  <si>
    <t>T100826</t>
  </si>
  <si>
    <t>T100827</t>
  </si>
  <si>
    <t>T100828</t>
  </si>
  <si>
    <t>T100830</t>
  </si>
  <si>
    <t>T100831</t>
  </si>
  <si>
    <t>T100832</t>
  </si>
  <si>
    <t>T100833</t>
  </si>
  <si>
    <t>T100834</t>
  </si>
  <si>
    <t>T100835</t>
  </si>
  <si>
    <t>T100836</t>
  </si>
  <si>
    <t>T100837</t>
  </si>
  <si>
    <t>T100838</t>
  </si>
  <si>
    <t>T100839</t>
  </si>
  <si>
    <t>T100840</t>
  </si>
  <si>
    <t>T100841</t>
  </si>
  <si>
    <t>T100842</t>
  </si>
  <si>
    <t>T100843</t>
  </si>
  <si>
    <t>T100844</t>
  </si>
  <si>
    <t>T100845</t>
  </si>
  <si>
    <t>T100846</t>
  </si>
  <si>
    <t>T100847</t>
  </si>
  <si>
    <t>T100848</t>
  </si>
  <si>
    <t>T100849</t>
  </si>
  <si>
    <t>T100850</t>
  </si>
  <si>
    <t>T100851</t>
  </si>
  <si>
    <t>T100852</t>
  </si>
  <si>
    <t>T100853</t>
  </si>
  <si>
    <t>T100854</t>
  </si>
  <si>
    <t>T100855</t>
  </si>
  <si>
    <t>T100856</t>
  </si>
  <si>
    <t>T100857</t>
  </si>
  <si>
    <t>T100858</t>
  </si>
  <si>
    <t>T100859</t>
  </si>
  <si>
    <t>T100860</t>
  </si>
  <si>
    <t>T100861</t>
  </si>
  <si>
    <t>T100862</t>
  </si>
  <si>
    <t>C1098</t>
  </si>
  <si>
    <t>T100863</t>
  </si>
  <si>
    <t>T100864</t>
  </si>
  <si>
    <t>T100865</t>
  </si>
  <si>
    <t>T100866</t>
  </si>
  <si>
    <t>T100867</t>
  </si>
  <si>
    <t>T100868</t>
  </si>
  <si>
    <t>T100869</t>
  </si>
  <si>
    <t>T100870</t>
  </si>
  <si>
    <t>T100871</t>
  </si>
  <si>
    <t>T100872</t>
  </si>
  <si>
    <t>T100873</t>
  </si>
  <si>
    <t>T100874</t>
  </si>
  <si>
    <t>T100875</t>
  </si>
  <si>
    <t>T100876</t>
  </si>
  <si>
    <t>C1128</t>
  </si>
  <si>
    <t>T100877</t>
  </si>
  <si>
    <t>T100878</t>
  </si>
  <si>
    <t>T100879</t>
  </si>
  <si>
    <t>T100880</t>
  </si>
  <si>
    <t>T100881</t>
  </si>
  <si>
    <t>T100882</t>
  </si>
  <si>
    <t>T100883</t>
  </si>
  <si>
    <t>T100884</t>
  </si>
  <si>
    <t>T100885</t>
  </si>
  <si>
    <t>T100886</t>
  </si>
  <si>
    <t>T100887</t>
  </si>
  <si>
    <t>T100888</t>
  </si>
  <si>
    <t>T100889</t>
  </si>
  <si>
    <t>T100890</t>
  </si>
  <si>
    <t>T100891</t>
  </si>
  <si>
    <t>T100892</t>
  </si>
  <si>
    <t>T100893</t>
  </si>
  <si>
    <t>T100894</t>
  </si>
  <si>
    <t>T100895</t>
  </si>
  <si>
    <t>T100896</t>
  </si>
  <si>
    <t>T100897</t>
  </si>
  <si>
    <t>T100898</t>
  </si>
  <si>
    <t>T100899</t>
  </si>
  <si>
    <t>T100900</t>
  </si>
  <si>
    <t>T100901</t>
  </si>
  <si>
    <t>T100902</t>
  </si>
  <si>
    <t>T100903</t>
  </si>
  <si>
    <t>T100904</t>
  </si>
  <si>
    <t>T100905</t>
  </si>
  <si>
    <t>T100906</t>
  </si>
  <si>
    <t>C1226</t>
  </si>
  <si>
    <t>T100907</t>
  </si>
  <si>
    <t>T100908</t>
  </si>
  <si>
    <t>T100909</t>
  </si>
  <si>
    <t>T100910</t>
  </si>
  <si>
    <t>T100911</t>
  </si>
  <si>
    <t>T100912</t>
  </si>
  <si>
    <t>T100913</t>
  </si>
  <si>
    <t>T100914</t>
  </si>
  <si>
    <t>T100915</t>
  </si>
  <si>
    <t>T100916</t>
  </si>
  <si>
    <t>T100918</t>
  </si>
  <si>
    <t>T100919</t>
  </si>
  <si>
    <t>T100920</t>
  </si>
  <si>
    <t>T100921</t>
  </si>
  <si>
    <t>T100922</t>
  </si>
  <si>
    <t>T100923</t>
  </si>
  <si>
    <t>T100924</t>
  </si>
  <si>
    <t>T100925</t>
  </si>
  <si>
    <t>T100926</t>
  </si>
  <si>
    <t>T100927</t>
  </si>
  <si>
    <t>T100928</t>
  </si>
  <si>
    <t>T100929</t>
  </si>
  <si>
    <t>T100930</t>
  </si>
  <si>
    <t>T100931</t>
  </si>
  <si>
    <t>T100932</t>
  </si>
  <si>
    <t>T100933</t>
  </si>
  <si>
    <t>T100934</t>
  </si>
  <si>
    <t>T100935</t>
  </si>
  <si>
    <t>T100936</t>
  </si>
  <si>
    <t>T100937</t>
  </si>
  <si>
    <t>T100938</t>
  </si>
  <si>
    <t>T100939</t>
  </si>
  <si>
    <t>T100940</t>
  </si>
  <si>
    <t>T100941</t>
  </si>
  <si>
    <t>T100942</t>
  </si>
  <si>
    <t>T100943</t>
  </si>
  <si>
    <t>C1300</t>
  </si>
  <si>
    <t>T100944</t>
  </si>
  <si>
    <t>T100945</t>
  </si>
  <si>
    <t>T100946</t>
  </si>
  <si>
    <t>T100947</t>
  </si>
  <si>
    <t>T100948</t>
  </si>
  <si>
    <t>C1297</t>
  </si>
  <si>
    <t>T100949</t>
  </si>
  <si>
    <t>T100950</t>
  </si>
  <si>
    <t>T100951</t>
  </si>
  <si>
    <t>C1052</t>
  </si>
  <si>
    <t>T100952</t>
  </si>
  <si>
    <t>T100953</t>
  </si>
  <si>
    <t>T100954</t>
  </si>
  <si>
    <t>T100955</t>
  </si>
  <si>
    <t>T100956</t>
  </si>
  <si>
    <t>T100957</t>
  </si>
  <si>
    <t>T100958</t>
  </si>
  <si>
    <t>T100959</t>
  </si>
  <si>
    <t>T100960</t>
  </si>
  <si>
    <t>T100961</t>
  </si>
  <si>
    <t>T100962</t>
  </si>
  <si>
    <t>C1018</t>
  </si>
  <si>
    <t>T100963</t>
  </si>
  <si>
    <t>C1263</t>
  </si>
  <si>
    <t>T100964</t>
  </si>
  <si>
    <t>T100965</t>
  </si>
  <si>
    <t>T100966</t>
  </si>
  <si>
    <t>T100967</t>
  </si>
  <si>
    <t>T100968</t>
  </si>
  <si>
    <t>T100969</t>
  </si>
  <si>
    <t>T100970</t>
  </si>
  <si>
    <t>T100971</t>
  </si>
  <si>
    <t>T100972</t>
  </si>
  <si>
    <t>C1011</t>
  </si>
  <si>
    <t>T100973</t>
  </si>
  <si>
    <t>T100974</t>
  </si>
  <si>
    <t>T100975</t>
  </si>
  <si>
    <t>T100976</t>
  </si>
  <si>
    <t>T100977</t>
  </si>
  <si>
    <t>T100978</t>
  </si>
  <si>
    <t>T100979</t>
  </si>
  <si>
    <t>T100980</t>
  </si>
  <si>
    <t>T100981</t>
  </si>
  <si>
    <t>T100982</t>
  </si>
  <si>
    <t>C1208</t>
  </si>
  <si>
    <t>T100983</t>
  </si>
  <si>
    <t>T100984</t>
  </si>
  <si>
    <t>T100985</t>
  </si>
  <si>
    <t>C1042</t>
  </si>
  <si>
    <t>T100986</t>
  </si>
  <si>
    <t>T100987</t>
  </si>
  <si>
    <t>T100988</t>
  </si>
  <si>
    <t>T100989</t>
  </si>
  <si>
    <t>T100990</t>
  </si>
  <si>
    <t>T100991</t>
  </si>
  <si>
    <t>T100992</t>
  </si>
  <si>
    <t>T100993</t>
  </si>
  <si>
    <t>T100994</t>
  </si>
  <si>
    <t>T100995</t>
  </si>
  <si>
    <t>T100996</t>
  </si>
  <si>
    <t>T100997</t>
  </si>
  <si>
    <t>T100998</t>
  </si>
  <si>
    <t>T100999</t>
  </si>
  <si>
    <t>Sum of Deposit Amount</t>
  </si>
  <si>
    <t>Row Labels</t>
  </si>
  <si>
    <t>Jan</t>
  </si>
  <si>
    <t>Feb</t>
  </si>
  <si>
    <t>Mar</t>
  </si>
  <si>
    <t>Apr</t>
  </si>
  <si>
    <t>May</t>
  </si>
  <si>
    <t>Jun</t>
  </si>
  <si>
    <t>Jul</t>
  </si>
  <si>
    <t>Aug</t>
  </si>
  <si>
    <t>Sep</t>
  </si>
  <si>
    <t>Oct</t>
  </si>
  <si>
    <t>Nov</t>
  </si>
  <si>
    <t>Dec</t>
  </si>
  <si>
    <t>Month</t>
  </si>
  <si>
    <t>Grand Total</t>
  </si>
  <si>
    <t>Sum of Withdrawal Amount</t>
  </si>
  <si>
    <t>Sum of Loan Amount</t>
  </si>
  <si>
    <t>Column Labels</t>
  </si>
  <si>
    <t>Unknown</t>
  </si>
  <si>
    <t>Count of Transaction ID</t>
  </si>
  <si>
    <t>Count of Customer ID</t>
  </si>
  <si>
    <t>Count of Account Status</t>
  </si>
  <si>
    <t>Count of Transaction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</si>
</sst>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409]* #,##0.00_ ;_-[$$-409]* \-#,##0.00\ ;_-[$$-409]* &quot;-&quot;??_ ;_-@_ "/>
  </numFmts>
  <fonts count="1" x14ac:knownFonts="1">
    <font>
      <sz val="11"/>
      <color theme="1"/>
      <name val="Calibri"/>
      <family val="2"/>
      <scheme val="minor"/>
    </font>
  </fonts>
  <fills count="3">
    <fill>
      <patternFill patternType="none"/>
    </fill>
    <fill>
      <patternFill patternType="gray125"/>
    </fill>
    <fill>
      <patternFill patternType="solid">
        <fgColor rgb="FF683104"/>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indent="1"/>
    </xf>
    <xf numFmtId="164" fontId="0" fillId="0" borderId="0" xfId="0" applyNumberFormat="1"/>
    <xf numFmtId="0" fontId="0" fillId="2" borderId="0" xfId="0" applyFill="1"/>
  </cellXfs>
  <cellStyles count="1">
    <cellStyle name="Normal" xfId="0" builtinId="0"/>
  </cellStyles>
  <dxfs count="12">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fill>
        <gradientFill degree="315">
          <stop position="0">
            <color rgb="FFF57E1B"/>
          </stop>
          <stop position="1">
            <color rgb="FFA54C03"/>
          </stop>
        </gradientFill>
      </fill>
    </dxf>
    <dxf>
      <font>
        <name val="Bodoni MT"/>
        <family val="1"/>
        <scheme val="none"/>
      </font>
      <fill>
        <patternFill patternType="solid">
          <fgColor auto="1"/>
          <bgColor rgb="FFC35D09"/>
        </patternFill>
      </fill>
    </dxf>
  </dxfs>
  <tableStyles count="1" defaultTableStyle="TableStyleMedium9" defaultPivotStyle="PivotStyleLight16">
    <tableStyle name="Slicer Style 1" pivot="0" table="0" count="8" xr9:uid="{5037E85A-E99C-4F09-9C90-009B38E78548}">
      <tableStyleElement type="wholeTable" dxfId="11"/>
      <tableStyleElement type="headerRow" dxfId="10"/>
    </tableStyle>
  </tableStyles>
  <colors>
    <mruColors>
      <color rgb="FFF57E1B"/>
      <color rgb="FFC35D09"/>
      <color rgb="FF683104"/>
      <color rgb="FF381A02"/>
      <color rgb="FFF7994B"/>
      <color rgb="FFA54C03"/>
      <color rgb="FFDE4500"/>
      <color rgb="FF9B4803"/>
      <color rgb="FF853F05"/>
      <color rgb="FFFF7979"/>
    </mruColors>
  </colors>
  <extLst>
    <ext xmlns:x14="http://schemas.microsoft.com/office/spreadsheetml/2009/9/main" uri="{46F421CA-312F-682f-3DD2-61675219B42D}">
      <x14:dxfs count="6">
        <dxf>
          <font>
            <color theme="0"/>
          </font>
          <fill>
            <patternFill>
              <bgColor theme="9" tint="-0.499984740745262"/>
            </patternFill>
          </fill>
        </dxf>
        <dxf>
          <font>
            <color theme="0"/>
          </font>
          <fill>
            <patternFill>
              <bgColor rgb="FF853F05"/>
            </patternFill>
          </fill>
        </dxf>
        <dxf>
          <font>
            <color theme="0"/>
          </font>
          <fill>
            <patternFill>
              <bgColor theme="9" tint="-0.499984740745262"/>
            </patternFill>
          </fill>
        </dxf>
        <dxf>
          <fill>
            <patternFill patternType="solid">
              <bgColor rgb="FFFF0000"/>
            </patternFill>
          </fill>
        </dxf>
        <dxf>
          <font>
            <color theme="0"/>
            <name val="Bodoni MT"/>
            <family val="1"/>
            <scheme val="none"/>
          </font>
          <fill>
            <patternFill patternType="solid">
              <bgColor theme="9" tint="-0.499984740745262"/>
            </patternFill>
          </fill>
        </dxf>
        <dxf>
          <fill>
            <patternFill>
              <bgColor theme="9" tint="-0.49998474074526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[Dashboard.xlsx]Sheet4!PivotTable4</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2934684393959"/>
          <c:y val="0.19444444444444445"/>
          <c:w val="0.53041589575893178"/>
          <c:h val="0.69815616797900248"/>
        </c:manualLayout>
      </c:layout>
      <c:barChart>
        <c:barDir val="col"/>
        <c:grouping val="clustered"/>
        <c:varyColors val="0"/>
        <c:ser>
          <c:idx val="0"/>
          <c:order val="0"/>
          <c:tx>
            <c:strRef>
              <c:f>Sheet4!$B$3</c:f>
              <c:strCache>
                <c:ptCount val="1"/>
                <c:pt idx="0">
                  <c:v>Sum of Deposit Amount</c:v>
                </c:pt>
              </c:strCache>
            </c:strRef>
          </c:tx>
          <c:spPr>
            <a:solidFill>
              <a:schemeClr val="accent1"/>
            </a:solidFill>
            <a:ln>
              <a:noFill/>
            </a:ln>
            <a:effectLst/>
          </c:spPr>
          <c:invertIfNegative val="0"/>
          <c:cat>
            <c:strRef>
              <c:f>Sheet4!$A$4</c:f>
              <c:strCache>
                <c:ptCount val="1"/>
                <c:pt idx="0">
                  <c:v>Jan</c:v>
                </c:pt>
              </c:strCache>
            </c:strRef>
          </c:cat>
          <c:val>
            <c:numRef>
              <c:f>Sheet4!$B$4</c:f>
              <c:numCache>
                <c:formatCode>_-[$$-409]* #,##0.00_ ;_-[$$-409]* \-#,##0.00\ ;_-[$$-409]* "-"??_ ;_-@_ </c:formatCode>
                <c:ptCount val="1"/>
                <c:pt idx="0">
                  <c:v>2117660</c:v>
                </c:pt>
              </c:numCache>
            </c:numRef>
          </c:val>
          <c:extLst>
            <c:ext xmlns:c16="http://schemas.microsoft.com/office/drawing/2014/chart" uri="{C3380CC4-5D6E-409C-BE32-E72D297353CC}">
              <c16:uniqueId val="{00000000-83AC-4899-8A26-D6665CB2B682}"/>
            </c:ext>
          </c:extLst>
        </c:ser>
        <c:ser>
          <c:idx val="1"/>
          <c:order val="1"/>
          <c:tx>
            <c:strRef>
              <c:f>Sheet4!$C$3</c:f>
              <c:strCache>
                <c:ptCount val="1"/>
                <c:pt idx="0">
                  <c:v>Sum of Withdrawal Amount</c:v>
                </c:pt>
              </c:strCache>
            </c:strRef>
          </c:tx>
          <c:spPr>
            <a:solidFill>
              <a:schemeClr val="accent2"/>
            </a:solidFill>
            <a:ln>
              <a:noFill/>
            </a:ln>
            <a:effectLst/>
          </c:spPr>
          <c:invertIfNegative val="0"/>
          <c:cat>
            <c:strRef>
              <c:f>Sheet4!$A$4</c:f>
              <c:strCache>
                <c:ptCount val="1"/>
                <c:pt idx="0">
                  <c:v>Jan</c:v>
                </c:pt>
              </c:strCache>
            </c:strRef>
          </c:cat>
          <c:val>
            <c:numRef>
              <c:f>Sheet4!$C$4</c:f>
              <c:numCache>
                <c:formatCode>_-[$$-409]* #,##0.00_ ;_-[$$-409]* \-#,##0.00\ ;_-[$$-409]* "-"??_ ;_-@_ </c:formatCode>
                <c:ptCount val="1"/>
                <c:pt idx="0">
                  <c:v>888857</c:v>
                </c:pt>
              </c:numCache>
            </c:numRef>
          </c:val>
          <c:extLst>
            <c:ext xmlns:c16="http://schemas.microsoft.com/office/drawing/2014/chart" uri="{C3380CC4-5D6E-409C-BE32-E72D297353CC}">
              <c16:uniqueId val="{00000001-83AC-4899-8A26-D6665CB2B682}"/>
            </c:ext>
          </c:extLst>
        </c:ser>
        <c:dLbls>
          <c:showLegendKey val="0"/>
          <c:showVal val="0"/>
          <c:showCatName val="0"/>
          <c:showSerName val="0"/>
          <c:showPercent val="0"/>
          <c:showBubbleSize val="0"/>
        </c:dLbls>
        <c:gapWidth val="219"/>
        <c:overlap val="-27"/>
        <c:axId val="774705632"/>
        <c:axId val="787399728"/>
      </c:barChart>
      <c:catAx>
        <c:axId val="774705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399728"/>
        <c:crosses val="autoZero"/>
        <c:auto val="1"/>
        <c:lblAlgn val="ctr"/>
        <c:lblOffset val="100"/>
        <c:noMultiLvlLbl val="0"/>
      </c:catAx>
      <c:valAx>
        <c:axId val="787399728"/>
        <c:scaling>
          <c:orientation val="minMax"/>
        </c:scaling>
        <c:delete val="0"/>
        <c:axPos val="l"/>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705632"/>
        <c:crosses val="autoZero"/>
        <c:crossBetween val="between"/>
      </c:valAx>
      <c:spPr>
        <a:noFill/>
        <a:ln>
          <a:noFill/>
        </a:ln>
        <a:effectLst/>
      </c:spPr>
    </c:plotArea>
    <c:legend>
      <c:legendPos val="r"/>
      <c:layout>
        <c:manualLayout>
          <c:xMode val="edge"/>
          <c:yMode val="edge"/>
          <c:x val="1.1926121939675604E-2"/>
          <c:y val="1.4467045785943447E-2"/>
          <c:w val="0.58279154654848475"/>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[Dashboard.xlsx]Sheet3!PivotTable3</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none"/>
          </c:marker>
          <c:cat>
            <c:multiLvlStrRef>
              <c:f>Sheet3!$A$4:$A$35</c:f>
              <c:multiLvlStrCache>
                <c:ptCount val="30"/>
                <c:lvl>
                  <c:pt idx="0">
                    <c:v>01-01-2025</c:v>
                  </c:pt>
                  <c:pt idx="1">
                    <c:v>02-01-2025</c:v>
                  </c:pt>
                  <c:pt idx="2">
                    <c:v>03-01-2025</c:v>
                  </c:pt>
                  <c:pt idx="3">
                    <c:v>05-01-2025</c:v>
                  </c:pt>
                  <c:pt idx="4">
                    <c:v>06-01-2025</c:v>
                  </c:pt>
                  <c:pt idx="5">
                    <c:v>07-01-2025</c:v>
                  </c:pt>
                  <c:pt idx="6">
                    <c:v>08-01-2025</c:v>
                  </c:pt>
                  <c:pt idx="7">
                    <c:v>09-01-2025</c:v>
                  </c:pt>
                  <c:pt idx="8">
                    <c:v>10-01-2025</c:v>
                  </c:pt>
                  <c:pt idx="9">
                    <c:v>11-01-2025</c:v>
                  </c:pt>
                  <c:pt idx="10">
                    <c:v>12-01-2025</c:v>
                  </c:pt>
                  <c:pt idx="11">
                    <c:v>13-01-2025</c:v>
                  </c:pt>
                  <c:pt idx="12">
                    <c:v>14-01-2025</c:v>
                  </c:pt>
                  <c:pt idx="13">
                    <c:v>15-01-2025</c:v>
                  </c:pt>
                  <c:pt idx="14">
                    <c:v>16-01-2025</c:v>
                  </c:pt>
                  <c:pt idx="15">
                    <c:v>17-01-2025</c:v>
                  </c:pt>
                  <c:pt idx="16">
                    <c:v>18-01-2025</c:v>
                  </c:pt>
                  <c:pt idx="17">
                    <c:v>19-01-2025</c:v>
                  </c:pt>
                  <c:pt idx="18">
                    <c:v>20-01-2025</c:v>
                  </c:pt>
                  <c:pt idx="19">
                    <c:v>21-01-2025</c:v>
                  </c:pt>
                  <c:pt idx="20">
                    <c:v>22-01-2025</c:v>
                  </c:pt>
                  <c:pt idx="21">
                    <c:v>23-01-2025</c:v>
                  </c:pt>
                  <c:pt idx="22">
                    <c:v>24-01-2025</c:v>
                  </c:pt>
                  <c:pt idx="23">
                    <c:v>25-01-2025</c:v>
                  </c:pt>
                  <c:pt idx="24">
                    <c:v>26-01-2025</c:v>
                  </c:pt>
                  <c:pt idx="25">
                    <c:v>27-01-2025</c:v>
                  </c:pt>
                  <c:pt idx="26">
                    <c:v>28-01-2025</c:v>
                  </c:pt>
                  <c:pt idx="27">
                    <c:v>29-01-2025</c:v>
                  </c:pt>
                  <c:pt idx="28">
                    <c:v>30-01-2025</c:v>
                  </c:pt>
                  <c:pt idx="29">
                    <c:v>31-01-2025</c:v>
                  </c:pt>
                </c:lvl>
                <c:lvl>
                  <c:pt idx="0">
                    <c:v>Jan</c:v>
                  </c:pt>
                </c:lvl>
              </c:multiLvlStrCache>
            </c:multiLvlStrRef>
          </c:cat>
          <c:val>
            <c:numRef>
              <c:f>Sheet3!$B$4:$B$35</c:f>
              <c:numCache>
                <c:formatCode>_-[$$-409]* #,##0.00_ ;_-[$$-409]* \-#,##0.00\ ;_-[$$-409]* "-"??_ ;_-@_ </c:formatCode>
                <c:ptCount val="30"/>
                <c:pt idx="0">
                  <c:v>1826081</c:v>
                </c:pt>
                <c:pt idx="1">
                  <c:v>3737844</c:v>
                </c:pt>
                <c:pt idx="2">
                  <c:v>745191</c:v>
                </c:pt>
                <c:pt idx="3">
                  <c:v>0</c:v>
                </c:pt>
                <c:pt idx="4">
                  <c:v>881776</c:v>
                </c:pt>
                <c:pt idx="5">
                  <c:v>1634479</c:v>
                </c:pt>
                <c:pt idx="6">
                  <c:v>561219</c:v>
                </c:pt>
                <c:pt idx="7">
                  <c:v>0</c:v>
                </c:pt>
                <c:pt idx="8">
                  <c:v>0</c:v>
                </c:pt>
                <c:pt idx="9">
                  <c:v>402008</c:v>
                </c:pt>
                <c:pt idx="10">
                  <c:v>0</c:v>
                </c:pt>
                <c:pt idx="11">
                  <c:v>0</c:v>
                </c:pt>
                <c:pt idx="12">
                  <c:v>0</c:v>
                </c:pt>
                <c:pt idx="13">
                  <c:v>0</c:v>
                </c:pt>
                <c:pt idx="14">
                  <c:v>0</c:v>
                </c:pt>
                <c:pt idx="15">
                  <c:v>1969180</c:v>
                </c:pt>
                <c:pt idx="16">
                  <c:v>2329495</c:v>
                </c:pt>
                <c:pt idx="17">
                  <c:v>280494</c:v>
                </c:pt>
                <c:pt idx="18">
                  <c:v>74718</c:v>
                </c:pt>
                <c:pt idx="19">
                  <c:v>0</c:v>
                </c:pt>
                <c:pt idx="20">
                  <c:v>680979</c:v>
                </c:pt>
                <c:pt idx="21">
                  <c:v>0</c:v>
                </c:pt>
                <c:pt idx="22">
                  <c:v>2333630</c:v>
                </c:pt>
                <c:pt idx="23">
                  <c:v>0</c:v>
                </c:pt>
                <c:pt idx="24">
                  <c:v>996854</c:v>
                </c:pt>
                <c:pt idx="25">
                  <c:v>1065873</c:v>
                </c:pt>
                <c:pt idx="26">
                  <c:v>718061</c:v>
                </c:pt>
                <c:pt idx="27">
                  <c:v>0</c:v>
                </c:pt>
                <c:pt idx="28">
                  <c:v>0</c:v>
                </c:pt>
                <c:pt idx="29">
                  <c:v>98409</c:v>
                </c:pt>
              </c:numCache>
            </c:numRef>
          </c:val>
          <c:smooth val="0"/>
          <c:extLst>
            <c:ext xmlns:c16="http://schemas.microsoft.com/office/drawing/2014/chart" uri="{C3380CC4-5D6E-409C-BE32-E72D297353CC}">
              <c16:uniqueId val="{00000000-4638-4EF3-BA83-F9DB7D9F0C42}"/>
            </c:ext>
          </c:extLst>
        </c:ser>
        <c:dLbls>
          <c:showLegendKey val="0"/>
          <c:showVal val="0"/>
          <c:showCatName val="0"/>
          <c:showSerName val="0"/>
          <c:showPercent val="0"/>
          <c:showBubbleSize val="0"/>
        </c:dLbls>
        <c:smooth val="0"/>
        <c:axId val="710088640"/>
        <c:axId val="311756912"/>
      </c:lineChart>
      <c:catAx>
        <c:axId val="710088640"/>
        <c:scaling>
          <c:orientation val="minMax"/>
        </c:scaling>
        <c:delete val="1"/>
        <c:axPos val="b"/>
        <c:numFmt formatCode="General" sourceLinked="1"/>
        <c:majorTickMark val="none"/>
        <c:minorTickMark val="none"/>
        <c:tickLblPos val="nextTo"/>
        <c:crossAx val="311756912"/>
        <c:crosses val="autoZero"/>
        <c:auto val="1"/>
        <c:lblAlgn val="ctr"/>
        <c:lblOffset val="100"/>
        <c:noMultiLvlLbl val="0"/>
      </c:catAx>
      <c:valAx>
        <c:axId val="311756912"/>
        <c:scaling>
          <c:orientation val="minMax"/>
          <c:max val="4200000"/>
        </c:scaling>
        <c:delete val="1"/>
        <c:axPos val="l"/>
        <c:numFmt formatCode="_-[$$-409]* #,##0.00_ ;_-[$$-409]* \-#,##0.00\ ;_-[$$-409]* &quot;-&quot;??_ ;_-@_ " sourceLinked="1"/>
        <c:majorTickMark val="none"/>
        <c:minorTickMark val="none"/>
        <c:tickLblPos val="nextTo"/>
        <c:crossAx val="710088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[Dashboard.xlsx]Sheet2!PivotTable2</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c:f>
              <c:strCache>
                <c:ptCount val="1"/>
                <c:pt idx="0">
                  <c:v>Total</c:v>
                </c:pt>
              </c:strCache>
            </c:strRef>
          </c:tx>
          <c:spPr>
            <a:ln w="28575" cap="rnd">
              <a:solidFill>
                <a:schemeClr val="accent1"/>
              </a:solidFill>
              <a:round/>
            </a:ln>
            <a:effectLst/>
          </c:spPr>
          <c:marker>
            <c:symbol val="none"/>
          </c:marker>
          <c:cat>
            <c:multiLvlStrRef>
              <c:f>Sheet2!$A$2:$A$33</c:f>
              <c:multiLvlStrCache>
                <c:ptCount val="30"/>
                <c:lvl>
                  <c:pt idx="0">
                    <c:v>01-01-2025</c:v>
                  </c:pt>
                  <c:pt idx="1">
                    <c:v>02-01-2025</c:v>
                  </c:pt>
                  <c:pt idx="2">
                    <c:v>03-01-2025</c:v>
                  </c:pt>
                  <c:pt idx="3">
                    <c:v>05-01-2025</c:v>
                  </c:pt>
                  <c:pt idx="4">
                    <c:v>06-01-2025</c:v>
                  </c:pt>
                  <c:pt idx="5">
                    <c:v>07-01-2025</c:v>
                  </c:pt>
                  <c:pt idx="6">
                    <c:v>08-01-2025</c:v>
                  </c:pt>
                  <c:pt idx="7">
                    <c:v>09-01-2025</c:v>
                  </c:pt>
                  <c:pt idx="8">
                    <c:v>10-01-2025</c:v>
                  </c:pt>
                  <c:pt idx="9">
                    <c:v>11-01-2025</c:v>
                  </c:pt>
                  <c:pt idx="10">
                    <c:v>12-01-2025</c:v>
                  </c:pt>
                  <c:pt idx="11">
                    <c:v>13-01-2025</c:v>
                  </c:pt>
                  <c:pt idx="12">
                    <c:v>14-01-2025</c:v>
                  </c:pt>
                  <c:pt idx="13">
                    <c:v>15-01-2025</c:v>
                  </c:pt>
                  <c:pt idx="14">
                    <c:v>16-01-2025</c:v>
                  </c:pt>
                  <c:pt idx="15">
                    <c:v>17-01-2025</c:v>
                  </c:pt>
                  <c:pt idx="16">
                    <c:v>18-01-2025</c:v>
                  </c:pt>
                  <c:pt idx="17">
                    <c:v>19-01-2025</c:v>
                  </c:pt>
                  <c:pt idx="18">
                    <c:v>20-01-2025</c:v>
                  </c:pt>
                  <c:pt idx="19">
                    <c:v>21-01-2025</c:v>
                  </c:pt>
                  <c:pt idx="20">
                    <c:v>22-01-2025</c:v>
                  </c:pt>
                  <c:pt idx="21">
                    <c:v>23-01-2025</c:v>
                  </c:pt>
                  <c:pt idx="22">
                    <c:v>24-01-2025</c:v>
                  </c:pt>
                  <c:pt idx="23">
                    <c:v>25-01-2025</c:v>
                  </c:pt>
                  <c:pt idx="24">
                    <c:v>26-01-2025</c:v>
                  </c:pt>
                  <c:pt idx="25">
                    <c:v>27-01-2025</c:v>
                  </c:pt>
                  <c:pt idx="26">
                    <c:v>28-01-2025</c:v>
                  </c:pt>
                  <c:pt idx="27">
                    <c:v>29-01-2025</c:v>
                  </c:pt>
                  <c:pt idx="28">
                    <c:v>30-01-2025</c:v>
                  </c:pt>
                  <c:pt idx="29">
                    <c:v>31-01-2025</c:v>
                  </c:pt>
                </c:lvl>
                <c:lvl>
                  <c:pt idx="0">
                    <c:v>Jan</c:v>
                  </c:pt>
                </c:lvl>
              </c:multiLvlStrCache>
            </c:multiLvlStrRef>
          </c:cat>
          <c:val>
            <c:numRef>
              <c:f>Sheet2!$B$2:$B$33</c:f>
              <c:numCache>
                <c:formatCode>_-[$$-409]* #,##0.00_ ;_-[$$-409]* \-#,##0.00\ ;_-[$$-409]* "-"??_ ;_-@_ </c:formatCode>
                <c:ptCount val="30"/>
                <c:pt idx="0">
                  <c:v>0</c:v>
                </c:pt>
                <c:pt idx="1">
                  <c:v>0</c:v>
                </c:pt>
                <c:pt idx="2">
                  <c:v>0</c:v>
                </c:pt>
                <c:pt idx="3">
                  <c:v>0</c:v>
                </c:pt>
                <c:pt idx="4">
                  <c:v>6027</c:v>
                </c:pt>
                <c:pt idx="5">
                  <c:v>31090</c:v>
                </c:pt>
                <c:pt idx="6">
                  <c:v>73643</c:v>
                </c:pt>
                <c:pt idx="7">
                  <c:v>70213</c:v>
                </c:pt>
                <c:pt idx="8">
                  <c:v>74796</c:v>
                </c:pt>
                <c:pt idx="9">
                  <c:v>10426</c:v>
                </c:pt>
                <c:pt idx="10">
                  <c:v>14364</c:v>
                </c:pt>
                <c:pt idx="11">
                  <c:v>67424</c:v>
                </c:pt>
                <c:pt idx="12">
                  <c:v>0</c:v>
                </c:pt>
                <c:pt idx="13">
                  <c:v>116086</c:v>
                </c:pt>
                <c:pt idx="14">
                  <c:v>0</c:v>
                </c:pt>
                <c:pt idx="15">
                  <c:v>0</c:v>
                </c:pt>
                <c:pt idx="16">
                  <c:v>0</c:v>
                </c:pt>
                <c:pt idx="17">
                  <c:v>12285</c:v>
                </c:pt>
                <c:pt idx="18">
                  <c:v>44490</c:v>
                </c:pt>
                <c:pt idx="19">
                  <c:v>94702</c:v>
                </c:pt>
                <c:pt idx="20">
                  <c:v>48202</c:v>
                </c:pt>
                <c:pt idx="21">
                  <c:v>0</c:v>
                </c:pt>
                <c:pt idx="22">
                  <c:v>25760</c:v>
                </c:pt>
                <c:pt idx="23">
                  <c:v>0</c:v>
                </c:pt>
                <c:pt idx="24">
                  <c:v>72748</c:v>
                </c:pt>
                <c:pt idx="25">
                  <c:v>0</c:v>
                </c:pt>
                <c:pt idx="26">
                  <c:v>0</c:v>
                </c:pt>
                <c:pt idx="27">
                  <c:v>0</c:v>
                </c:pt>
                <c:pt idx="28">
                  <c:v>79132</c:v>
                </c:pt>
                <c:pt idx="29">
                  <c:v>47469</c:v>
                </c:pt>
              </c:numCache>
            </c:numRef>
          </c:val>
          <c:smooth val="0"/>
          <c:extLst>
            <c:ext xmlns:c16="http://schemas.microsoft.com/office/drawing/2014/chart" uri="{C3380CC4-5D6E-409C-BE32-E72D297353CC}">
              <c16:uniqueId val="{00000000-81FD-4714-85AC-E08C04DE5DA6}"/>
            </c:ext>
          </c:extLst>
        </c:ser>
        <c:dLbls>
          <c:showLegendKey val="0"/>
          <c:showVal val="0"/>
          <c:showCatName val="0"/>
          <c:showSerName val="0"/>
          <c:showPercent val="0"/>
          <c:showBubbleSize val="0"/>
        </c:dLbls>
        <c:smooth val="0"/>
        <c:axId val="710092816"/>
        <c:axId val="614410512"/>
      </c:lineChart>
      <c:catAx>
        <c:axId val="7100928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410512"/>
        <c:crosses val="autoZero"/>
        <c:auto val="1"/>
        <c:lblAlgn val="ctr"/>
        <c:lblOffset val="100"/>
        <c:noMultiLvlLbl val="0"/>
      </c:catAx>
      <c:valAx>
        <c:axId val="614410512"/>
        <c:scaling>
          <c:orientation val="minMax"/>
          <c:max val="200000"/>
        </c:scaling>
        <c:delete val="0"/>
        <c:axPos val="l"/>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092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[Dashboard.xlsx]Sheet1!PivotTable1</c:name>
    <c:fmtId val="3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none"/>
          </c:marker>
          <c:cat>
            <c:multiLvlStrRef>
              <c:f>Sheet1!$A$4:$A$34</c:f>
              <c:multiLvlStrCache>
                <c:ptCount val="30"/>
                <c:lvl>
                  <c:pt idx="0">
                    <c:v>01-01-2025</c:v>
                  </c:pt>
                  <c:pt idx="1">
                    <c:v>02-01-2025</c:v>
                  </c:pt>
                  <c:pt idx="2">
                    <c:v>03-01-2025</c:v>
                  </c:pt>
                  <c:pt idx="3">
                    <c:v>05-01-2025</c:v>
                  </c:pt>
                  <c:pt idx="4">
                    <c:v>06-01-2025</c:v>
                  </c:pt>
                  <c:pt idx="5">
                    <c:v>07-01-2025</c:v>
                  </c:pt>
                  <c:pt idx="6">
                    <c:v>08-01-2025</c:v>
                  </c:pt>
                  <c:pt idx="7">
                    <c:v>09-01-2025</c:v>
                  </c:pt>
                  <c:pt idx="8">
                    <c:v>10-01-2025</c:v>
                  </c:pt>
                  <c:pt idx="9">
                    <c:v>11-01-2025</c:v>
                  </c:pt>
                  <c:pt idx="10">
                    <c:v>12-01-2025</c:v>
                  </c:pt>
                  <c:pt idx="11">
                    <c:v>13-01-2025</c:v>
                  </c:pt>
                  <c:pt idx="12">
                    <c:v>14-01-2025</c:v>
                  </c:pt>
                  <c:pt idx="13">
                    <c:v>15-01-2025</c:v>
                  </c:pt>
                  <c:pt idx="14">
                    <c:v>16-01-2025</c:v>
                  </c:pt>
                  <c:pt idx="15">
                    <c:v>17-01-2025</c:v>
                  </c:pt>
                  <c:pt idx="16">
                    <c:v>18-01-2025</c:v>
                  </c:pt>
                  <c:pt idx="17">
                    <c:v>19-01-2025</c:v>
                  </c:pt>
                  <c:pt idx="18">
                    <c:v>20-01-2025</c:v>
                  </c:pt>
                  <c:pt idx="19">
                    <c:v>21-01-2025</c:v>
                  </c:pt>
                  <c:pt idx="20">
                    <c:v>22-01-2025</c:v>
                  </c:pt>
                  <c:pt idx="21">
                    <c:v>23-01-2025</c:v>
                  </c:pt>
                  <c:pt idx="22">
                    <c:v>24-01-2025</c:v>
                  </c:pt>
                  <c:pt idx="23">
                    <c:v>25-01-2025</c:v>
                  </c:pt>
                  <c:pt idx="24">
                    <c:v>26-01-2025</c:v>
                  </c:pt>
                  <c:pt idx="25">
                    <c:v>27-01-2025</c:v>
                  </c:pt>
                  <c:pt idx="26">
                    <c:v>28-01-2025</c:v>
                  </c:pt>
                  <c:pt idx="27">
                    <c:v>29-01-2025</c:v>
                  </c:pt>
                  <c:pt idx="28">
                    <c:v>30-01-2025</c:v>
                  </c:pt>
                  <c:pt idx="29">
                    <c:v>31-01-2025</c:v>
                  </c:pt>
                </c:lvl>
                <c:lvl>
                  <c:pt idx="0">
                    <c:v>Jan</c:v>
                  </c:pt>
                </c:lvl>
              </c:multiLvlStrCache>
            </c:multiLvlStrRef>
          </c:cat>
          <c:val>
            <c:numRef>
              <c:f>Sheet1!$B$4:$B$34</c:f>
              <c:numCache>
                <c:formatCode>_-[$$-409]* #,##0.00_ ;_-[$$-409]* \-#,##0.00\ ;_-[$$-409]* "-"??_ ;_-@_ </c:formatCode>
                <c:ptCount val="30"/>
                <c:pt idx="0">
                  <c:v>0</c:v>
                </c:pt>
                <c:pt idx="1">
                  <c:v>85332</c:v>
                </c:pt>
                <c:pt idx="2">
                  <c:v>0</c:v>
                </c:pt>
                <c:pt idx="3">
                  <c:v>128012</c:v>
                </c:pt>
                <c:pt idx="4">
                  <c:v>0</c:v>
                </c:pt>
                <c:pt idx="5">
                  <c:v>398062</c:v>
                </c:pt>
                <c:pt idx="6">
                  <c:v>93735</c:v>
                </c:pt>
                <c:pt idx="7">
                  <c:v>103754</c:v>
                </c:pt>
                <c:pt idx="8">
                  <c:v>0</c:v>
                </c:pt>
                <c:pt idx="9">
                  <c:v>181408</c:v>
                </c:pt>
                <c:pt idx="10">
                  <c:v>0</c:v>
                </c:pt>
                <c:pt idx="11">
                  <c:v>83713</c:v>
                </c:pt>
                <c:pt idx="12">
                  <c:v>0</c:v>
                </c:pt>
                <c:pt idx="13">
                  <c:v>0</c:v>
                </c:pt>
                <c:pt idx="14">
                  <c:v>160879</c:v>
                </c:pt>
                <c:pt idx="15">
                  <c:v>8353</c:v>
                </c:pt>
                <c:pt idx="16">
                  <c:v>15383</c:v>
                </c:pt>
                <c:pt idx="17">
                  <c:v>184378</c:v>
                </c:pt>
                <c:pt idx="18">
                  <c:v>196670</c:v>
                </c:pt>
                <c:pt idx="19">
                  <c:v>20316</c:v>
                </c:pt>
                <c:pt idx="20">
                  <c:v>0</c:v>
                </c:pt>
                <c:pt idx="21">
                  <c:v>0</c:v>
                </c:pt>
                <c:pt idx="22">
                  <c:v>148061</c:v>
                </c:pt>
                <c:pt idx="23">
                  <c:v>0</c:v>
                </c:pt>
                <c:pt idx="24">
                  <c:v>0</c:v>
                </c:pt>
                <c:pt idx="25">
                  <c:v>309604</c:v>
                </c:pt>
                <c:pt idx="26">
                  <c:v>0</c:v>
                </c:pt>
                <c:pt idx="27">
                  <c:v>0</c:v>
                </c:pt>
                <c:pt idx="28">
                  <c:v>0</c:v>
                </c:pt>
                <c:pt idx="29">
                  <c:v>0</c:v>
                </c:pt>
              </c:numCache>
            </c:numRef>
          </c:val>
          <c:smooth val="0"/>
          <c:extLst>
            <c:ext xmlns:c16="http://schemas.microsoft.com/office/drawing/2014/chart" uri="{C3380CC4-5D6E-409C-BE32-E72D297353CC}">
              <c16:uniqueId val="{00000000-F1BC-434F-9ED7-1F660A2141BD}"/>
            </c:ext>
          </c:extLst>
        </c:ser>
        <c:dLbls>
          <c:showLegendKey val="0"/>
          <c:showVal val="0"/>
          <c:showCatName val="0"/>
          <c:showSerName val="0"/>
          <c:showPercent val="0"/>
          <c:showBubbleSize val="0"/>
        </c:dLbls>
        <c:smooth val="0"/>
        <c:axId val="542411104"/>
        <c:axId val="311718512"/>
      </c:lineChart>
      <c:catAx>
        <c:axId val="542411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718512"/>
        <c:crosses val="autoZero"/>
        <c:auto val="1"/>
        <c:lblAlgn val="ctr"/>
        <c:lblOffset val="100"/>
        <c:noMultiLvlLbl val="0"/>
      </c:catAx>
      <c:valAx>
        <c:axId val="311718512"/>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411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[Dashboard.xlsx]Sheet1!PivotTable1</c:name>
    <c:fmtId val="37"/>
  </c:pivotSource>
  <c:chart>
    <c:autoTitleDeleted val="1"/>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15875" cap="rnd">
            <a:gradFill flip="none" rotWithShape="1">
              <a:gsLst>
                <a:gs pos="44000">
                  <a:schemeClr val="bg1"/>
                </a:gs>
                <a:gs pos="96000">
                  <a:srgbClr val="F57E1B">
                    <a:lumMod val="100000"/>
                    <a:alpha val="40000"/>
                  </a:srgbClr>
                </a:gs>
              </a:gsLst>
              <a:path path="shape">
                <a:fillToRect l="50000" t="50000" r="50000" b="50000"/>
              </a:path>
              <a:tileRect/>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304915425736063E-2"/>
          <c:y val="1.3346350403700828E-2"/>
          <c:w val="0.89505115223367515"/>
          <c:h val="0.97626516041425804"/>
        </c:manualLayout>
      </c:layout>
      <c:lineChart>
        <c:grouping val="standard"/>
        <c:varyColors val="0"/>
        <c:ser>
          <c:idx val="0"/>
          <c:order val="0"/>
          <c:tx>
            <c:strRef>
              <c:f>Sheet1!$B$3</c:f>
              <c:strCache>
                <c:ptCount val="1"/>
                <c:pt idx="0">
                  <c:v>Total</c:v>
                </c:pt>
              </c:strCache>
            </c:strRef>
          </c:tx>
          <c:spPr>
            <a:ln w="15875" cap="rnd">
              <a:gradFill flip="none" rotWithShape="1">
                <a:gsLst>
                  <a:gs pos="44000">
                    <a:schemeClr val="bg1"/>
                  </a:gs>
                  <a:gs pos="96000">
                    <a:srgbClr val="F57E1B">
                      <a:lumMod val="100000"/>
                      <a:alpha val="40000"/>
                    </a:srgbClr>
                  </a:gs>
                </a:gsLst>
                <a:path path="shape">
                  <a:fillToRect l="50000" t="50000" r="50000" b="50000"/>
                </a:path>
                <a:tileRect/>
              </a:gradFill>
              <a:round/>
            </a:ln>
            <a:effectLst/>
          </c:spPr>
          <c:marker>
            <c:symbol val="none"/>
          </c:marker>
          <c:cat>
            <c:multiLvlStrRef>
              <c:f>Sheet1!$A$4:$A$34</c:f>
              <c:multiLvlStrCache>
                <c:ptCount val="30"/>
                <c:lvl>
                  <c:pt idx="0">
                    <c:v>01-01-2025</c:v>
                  </c:pt>
                  <c:pt idx="1">
                    <c:v>02-01-2025</c:v>
                  </c:pt>
                  <c:pt idx="2">
                    <c:v>03-01-2025</c:v>
                  </c:pt>
                  <c:pt idx="3">
                    <c:v>05-01-2025</c:v>
                  </c:pt>
                  <c:pt idx="4">
                    <c:v>06-01-2025</c:v>
                  </c:pt>
                  <c:pt idx="5">
                    <c:v>07-01-2025</c:v>
                  </c:pt>
                  <c:pt idx="6">
                    <c:v>08-01-2025</c:v>
                  </c:pt>
                  <c:pt idx="7">
                    <c:v>09-01-2025</c:v>
                  </c:pt>
                  <c:pt idx="8">
                    <c:v>10-01-2025</c:v>
                  </c:pt>
                  <c:pt idx="9">
                    <c:v>11-01-2025</c:v>
                  </c:pt>
                  <c:pt idx="10">
                    <c:v>12-01-2025</c:v>
                  </c:pt>
                  <c:pt idx="11">
                    <c:v>13-01-2025</c:v>
                  </c:pt>
                  <c:pt idx="12">
                    <c:v>14-01-2025</c:v>
                  </c:pt>
                  <c:pt idx="13">
                    <c:v>15-01-2025</c:v>
                  </c:pt>
                  <c:pt idx="14">
                    <c:v>16-01-2025</c:v>
                  </c:pt>
                  <c:pt idx="15">
                    <c:v>17-01-2025</c:v>
                  </c:pt>
                  <c:pt idx="16">
                    <c:v>18-01-2025</c:v>
                  </c:pt>
                  <c:pt idx="17">
                    <c:v>19-01-2025</c:v>
                  </c:pt>
                  <c:pt idx="18">
                    <c:v>20-01-2025</c:v>
                  </c:pt>
                  <c:pt idx="19">
                    <c:v>21-01-2025</c:v>
                  </c:pt>
                  <c:pt idx="20">
                    <c:v>22-01-2025</c:v>
                  </c:pt>
                  <c:pt idx="21">
                    <c:v>23-01-2025</c:v>
                  </c:pt>
                  <c:pt idx="22">
                    <c:v>24-01-2025</c:v>
                  </c:pt>
                  <c:pt idx="23">
                    <c:v>25-01-2025</c:v>
                  </c:pt>
                  <c:pt idx="24">
                    <c:v>26-01-2025</c:v>
                  </c:pt>
                  <c:pt idx="25">
                    <c:v>27-01-2025</c:v>
                  </c:pt>
                  <c:pt idx="26">
                    <c:v>28-01-2025</c:v>
                  </c:pt>
                  <c:pt idx="27">
                    <c:v>29-01-2025</c:v>
                  </c:pt>
                  <c:pt idx="28">
                    <c:v>30-01-2025</c:v>
                  </c:pt>
                  <c:pt idx="29">
                    <c:v>31-01-2025</c:v>
                  </c:pt>
                </c:lvl>
                <c:lvl>
                  <c:pt idx="0">
                    <c:v>Jan</c:v>
                  </c:pt>
                </c:lvl>
              </c:multiLvlStrCache>
            </c:multiLvlStrRef>
          </c:cat>
          <c:val>
            <c:numRef>
              <c:f>Sheet1!$B$4:$B$34</c:f>
              <c:numCache>
                <c:formatCode>_-[$$-409]* #,##0.00_ ;_-[$$-409]* \-#,##0.00\ ;_-[$$-409]* "-"??_ ;_-@_ </c:formatCode>
                <c:ptCount val="30"/>
                <c:pt idx="0">
                  <c:v>0</c:v>
                </c:pt>
                <c:pt idx="1">
                  <c:v>85332</c:v>
                </c:pt>
                <c:pt idx="2">
                  <c:v>0</c:v>
                </c:pt>
                <c:pt idx="3">
                  <c:v>128012</c:v>
                </c:pt>
                <c:pt idx="4">
                  <c:v>0</c:v>
                </c:pt>
                <c:pt idx="5">
                  <c:v>398062</c:v>
                </c:pt>
                <c:pt idx="6">
                  <c:v>93735</c:v>
                </c:pt>
                <c:pt idx="7">
                  <c:v>103754</c:v>
                </c:pt>
                <c:pt idx="8">
                  <c:v>0</c:v>
                </c:pt>
                <c:pt idx="9">
                  <c:v>181408</c:v>
                </c:pt>
                <c:pt idx="10">
                  <c:v>0</c:v>
                </c:pt>
                <c:pt idx="11">
                  <c:v>83713</c:v>
                </c:pt>
                <c:pt idx="12">
                  <c:v>0</c:v>
                </c:pt>
                <c:pt idx="13">
                  <c:v>0</c:v>
                </c:pt>
                <c:pt idx="14">
                  <c:v>160879</c:v>
                </c:pt>
                <c:pt idx="15">
                  <c:v>8353</c:v>
                </c:pt>
                <c:pt idx="16">
                  <c:v>15383</c:v>
                </c:pt>
                <c:pt idx="17">
                  <c:v>184378</c:v>
                </c:pt>
                <c:pt idx="18">
                  <c:v>196670</c:v>
                </c:pt>
                <c:pt idx="19">
                  <c:v>20316</c:v>
                </c:pt>
                <c:pt idx="20">
                  <c:v>0</c:v>
                </c:pt>
                <c:pt idx="21">
                  <c:v>0</c:v>
                </c:pt>
                <c:pt idx="22">
                  <c:v>148061</c:v>
                </c:pt>
                <c:pt idx="23">
                  <c:v>0</c:v>
                </c:pt>
                <c:pt idx="24">
                  <c:v>0</c:v>
                </c:pt>
                <c:pt idx="25">
                  <c:v>309604</c:v>
                </c:pt>
                <c:pt idx="26">
                  <c:v>0</c:v>
                </c:pt>
                <c:pt idx="27">
                  <c:v>0</c:v>
                </c:pt>
                <c:pt idx="28">
                  <c:v>0</c:v>
                </c:pt>
                <c:pt idx="29">
                  <c:v>0</c:v>
                </c:pt>
              </c:numCache>
            </c:numRef>
          </c:val>
          <c:smooth val="1"/>
          <c:extLst>
            <c:ext xmlns:c16="http://schemas.microsoft.com/office/drawing/2014/chart" uri="{C3380CC4-5D6E-409C-BE32-E72D297353CC}">
              <c16:uniqueId val="{00000000-74E8-4041-9573-962E1E8E076C}"/>
            </c:ext>
          </c:extLst>
        </c:ser>
        <c:dLbls>
          <c:showLegendKey val="0"/>
          <c:showVal val="0"/>
          <c:showCatName val="0"/>
          <c:showSerName val="0"/>
          <c:showPercent val="0"/>
          <c:showBubbleSize val="0"/>
        </c:dLbls>
        <c:smooth val="0"/>
        <c:axId val="542411104"/>
        <c:axId val="311718512"/>
      </c:lineChart>
      <c:catAx>
        <c:axId val="542411104"/>
        <c:scaling>
          <c:orientation val="minMax"/>
        </c:scaling>
        <c:delete val="1"/>
        <c:axPos val="b"/>
        <c:numFmt formatCode="General" sourceLinked="1"/>
        <c:majorTickMark val="none"/>
        <c:minorTickMark val="none"/>
        <c:tickLblPos val="nextTo"/>
        <c:crossAx val="311718512"/>
        <c:crosses val="autoZero"/>
        <c:auto val="1"/>
        <c:lblAlgn val="ctr"/>
        <c:lblOffset val="100"/>
        <c:noMultiLvlLbl val="0"/>
      </c:catAx>
      <c:valAx>
        <c:axId val="311718512"/>
        <c:scaling>
          <c:orientation val="minMax"/>
        </c:scaling>
        <c:delete val="1"/>
        <c:axPos val="l"/>
        <c:numFmt formatCode="_-[$$-409]* #,##0.00_ ;_-[$$-409]* \-#,##0.00\ ;_-[$$-409]* &quot;-&quot;??_ ;_-@_ " sourceLinked="1"/>
        <c:majorTickMark val="none"/>
        <c:minorTickMark val="none"/>
        <c:tickLblPos val="nextTo"/>
        <c:crossAx val="542411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[Dashboard.xlsx]Sheet2!PivotTable2</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5875" cap="rnd">
            <a:gradFill flip="none" rotWithShape="1">
              <a:gsLst>
                <a:gs pos="44000">
                  <a:schemeClr val="accent1">
                    <a:lumMod val="5000"/>
                    <a:lumOff val="95000"/>
                  </a:schemeClr>
                </a:gs>
                <a:gs pos="100000">
                  <a:srgbClr val="F57E1B">
                    <a:alpha val="40000"/>
                  </a:srgbClr>
                </a:gs>
              </a:gsLst>
              <a:path path="shape">
                <a:fillToRect l="50000" t="50000" r="50000" b="50000"/>
              </a:path>
              <a:tileRect/>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660667916511709E-2"/>
          <c:y val="2.0116910974035937E-2"/>
          <c:w val="0.93598120101105597"/>
          <c:h val="0.87992417256150579"/>
        </c:manualLayout>
      </c:layout>
      <c:lineChart>
        <c:grouping val="standard"/>
        <c:varyColors val="0"/>
        <c:ser>
          <c:idx val="0"/>
          <c:order val="0"/>
          <c:tx>
            <c:strRef>
              <c:f>Sheet2!$B$1</c:f>
              <c:strCache>
                <c:ptCount val="1"/>
                <c:pt idx="0">
                  <c:v>Total</c:v>
                </c:pt>
              </c:strCache>
            </c:strRef>
          </c:tx>
          <c:spPr>
            <a:ln w="15875" cap="rnd">
              <a:gradFill flip="none" rotWithShape="1">
                <a:gsLst>
                  <a:gs pos="44000">
                    <a:schemeClr val="accent1">
                      <a:lumMod val="5000"/>
                      <a:lumOff val="95000"/>
                    </a:schemeClr>
                  </a:gs>
                  <a:gs pos="100000">
                    <a:srgbClr val="F57E1B">
                      <a:alpha val="40000"/>
                    </a:srgbClr>
                  </a:gs>
                </a:gsLst>
                <a:path path="shape">
                  <a:fillToRect l="50000" t="50000" r="50000" b="50000"/>
                </a:path>
                <a:tileRect/>
              </a:gradFill>
              <a:round/>
            </a:ln>
            <a:effectLst/>
          </c:spPr>
          <c:marker>
            <c:symbol val="none"/>
          </c:marker>
          <c:cat>
            <c:multiLvlStrRef>
              <c:f>Sheet2!$A$2:$A$33</c:f>
              <c:multiLvlStrCache>
                <c:ptCount val="30"/>
                <c:lvl>
                  <c:pt idx="0">
                    <c:v>01-01-2025</c:v>
                  </c:pt>
                  <c:pt idx="1">
                    <c:v>02-01-2025</c:v>
                  </c:pt>
                  <c:pt idx="2">
                    <c:v>03-01-2025</c:v>
                  </c:pt>
                  <c:pt idx="3">
                    <c:v>05-01-2025</c:v>
                  </c:pt>
                  <c:pt idx="4">
                    <c:v>06-01-2025</c:v>
                  </c:pt>
                  <c:pt idx="5">
                    <c:v>07-01-2025</c:v>
                  </c:pt>
                  <c:pt idx="6">
                    <c:v>08-01-2025</c:v>
                  </c:pt>
                  <c:pt idx="7">
                    <c:v>09-01-2025</c:v>
                  </c:pt>
                  <c:pt idx="8">
                    <c:v>10-01-2025</c:v>
                  </c:pt>
                  <c:pt idx="9">
                    <c:v>11-01-2025</c:v>
                  </c:pt>
                  <c:pt idx="10">
                    <c:v>12-01-2025</c:v>
                  </c:pt>
                  <c:pt idx="11">
                    <c:v>13-01-2025</c:v>
                  </c:pt>
                  <c:pt idx="12">
                    <c:v>14-01-2025</c:v>
                  </c:pt>
                  <c:pt idx="13">
                    <c:v>15-01-2025</c:v>
                  </c:pt>
                  <c:pt idx="14">
                    <c:v>16-01-2025</c:v>
                  </c:pt>
                  <c:pt idx="15">
                    <c:v>17-01-2025</c:v>
                  </c:pt>
                  <c:pt idx="16">
                    <c:v>18-01-2025</c:v>
                  </c:pt>
                  <c:pt idx="17">
                    <c:v>19-01-2025</c:v>
                  </c:pt>
                  <c:pt idx="18">
                    <c:v>20-01-2025</c:v>
                  </c:pt>
                  <c:pt idx="19">
                    <c:v>21-01-2025</c:v>
                  </c:pt>
                  <c:pt idx="20">
                    <c:v>22-01-2025</c:v>
                  </c:pt>
                  <c:pt idx="21">
                    <c:v>23-01-2025</c:v>
                  </c:pt>
                  <c:pt idx="22">
                    <c:v>24-01-2025</c:v>
                  </c:pt>
                  <c:pt idx="23">
                    <c:v>25-01-2025</c:v>
                  </c:pt>
                  <c:pt idx="24">
                    <c:v>26-01-2025</c:v>
                  </c:pt>
                  <c:pt idx="25">
                    <c:v>27-01-2025</c:v>
                  </c:pt>
                  <c:pt idx="26">
                    <c:v>28-01-2025</c:v>
                  </c:pt>
                  <c:pt idx="27">
                    <c:v>29-01-2025</c:v>
                  </c:pt>
                  <c:pt idx="28">
                    <c:v>30-01-2025</c:v>
                  </c:pt>
                  <c:pt idx="29">
                    <c:v>31-01-2025</c:v>
                  </c:pt>
                </c:lvl>
                <c:lvl>
                  <c:pt idx="0">
                    <c:v>Jan</c:v>
                  </c:pt>
                </c:lvl>
              </c:multiLvlStrCache>
            </c:multiLvlStrRef>
          </c:cat>
          <c:val>
            <c:numRef>
              <c:f>Sheet2!$B$2:$B$33</c:f>
              <c:numCache>
                <c:formatCode>_-[$$-409]* #,##0.00_ ;_-[$$-409]* \-#,##0.00\ ;_-[$$-409]* "-"??_ ;_-@_ </c:formatCode>
                <c:ptCount val="30"/>
                <c:pt idx="0">
                  <c:v>0</c:v>
                </c:pt>
                <c:pt idx="1">
                  <c:v>0</c:v>
                </c:pt>
                <c:pt idx="2">
                  <c:v>0</c:v>
                </c:pt>
                <c:pt idx="3">
                  <c:v>0</c:v>
                </c:pt>
                <c:pt idx="4">
                  <c:v>6027</c:v>
                </c:pt>
                <c:pt idx="5">
                  <c:v>31090</c:v>
                </c:pt>
                <c:pt idx="6">
                  <c:v>73643</c:v>
                </c:pt>
                <c:pt idx="7">
                  <c:v>70213</c:v>
                </c:pt>
                <c:pt idx="8">
                  <c:v>74796</c:v>
                </c:pt>
                <c:pt idx="9">
                  <c:v>10426</c:v>
                </c:pt>
                <c:pt idx="10">
                  <c:v>14364</c:v>
                </c:pt>
                <c:pt idx="11">
                  <c:v>67424</c:v>
                </c:pt>
                <c:pt idx="12">
                  <c:v>0</c:v>
                </c:pt>
                <c:pt idx="13">
                  <c:v>116086</c:v>
                </c:pt>
                <c:pt idx="14">
                  <c:v>0</c:v>
                </c:pt>
                <c:pt idx="15">
                  <c:v>0</c:v>
                </c:pt>
                <c:pt idx="16">
                  <c:v>0</c:v>
                </c:pt>
                <c:pt idx="17">
                  <c:v>12285</c:v>
                </c:pt>
                <c:pt idx="18">
                  <c:v>44490</c:v>
                </c:pt>
                <c:pt idx="19">
                  <c:v>94702</c:v>
                </c:pt>
                <c:pt idx="20">
                  <c:v>48202</c:v>
                </c:pt>
                <c:pt idx="21">
                  <c:v>0</c:v>
                </c:pt>
                <c:pt idx="22">
                  <c:v>25760</c:v>
                </c:pt>
                <c:pt idx="23">
                  <c:v>0</c:v>
                </c:pt>
                <c:pt idx="24">
                  <c:v>72748</c:v>
                </c:pt>
                <c:pt idx="25">
                  <c:v>0</c:v>
                </c:pt>
                <c:pt idx="26">
                  <c:v>0</c:v>
                </c:pt>
                <c:pt idx="27">
                  <c:v>0</c:v>
                </c:pt>
                <c:pt idx="28">
                  <c:v>79132</c:v>
                </c:pt>
                <c:pt idx="29">
                  <c:v>47469</c:v>
                </c:pt>
              </c:numCache>
            </c:numRef>
          </c:val>
          <c:smooth val="1"/>
          <c:extLst>
            <c:ext xmlns:c16="http://schemas.microsoft.com/office/drawing/2014/chart" uri="{C3380CC4-5D6E-409C-BE32-E72D297353CC}">
              <c16:uniqueId val="{00000000-64BB-4BA9-945B-3B8ABB7A0BEF}"/>
            </c:ext>
          </c:extLst>
        </c:ser>
        <c:dLbls>
          <c:showLegendKey val="0"/>
          <c:showVal val="0"/>
          <c:showCatName val="0"/>
          <c:showSerName val="0"/>
          <c:showPercent val="0"/>
          <c:showBubbleSize val="0"/>
        </c:dLbls>
        <c:smooth val="0"/>
        <c:axId val="710092816"/>
        <c:axId val="614410512"/>
      </c:lineChart>
      <c:catAx>
        <c:axId val="710092816"/>
        <c:scaling>
          <c:orientation val="minMax"/>
        </c:scaling>
        <c:delete val="1"/>
        <c:axPos val="b"/>
        <c:numFmt formatCode="General" sourceLinked="1"/>
        <c:majorTickMark val="out"/>
        <c:minorTickMark val="none"/>
        <c:tickLblPos val="nextTo"/>
        <c:crossAx val="614410512"/>
        <c:crosses val="autoZero"/>
        <c:auto val="1"/>
        <c:lblAlgn val="ctr"/>
        <c:lblOffset val="100"/>
        <c:noMultiLvlLbl val="0"/>
      </c:catAx>
      <c:valAx>
        <c:axId val="614410512"/>
        <c:scaling>
          <c:orientation val="minMax"/>
          <c:min val="0"/>
        </c:scaling>
        <c:delete val="1"/>
        <c:axPos val="l"/>
        <c:numFmt formatCode="_-[$$-409]* #,##0.00_ ;_-[$$-409]* \-#,##0.00\ ;_-[$$-409]* &quot;-&quot;??_ ;_-@_ " sourceLinked="1"/>
        <c:majorTickMark val="out"/>
        <c:minorTickMark val="none"/>
        <c:tickLblPos val="nextTo"/>
        <c:crossAx val="710092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[Dashboard.xlsx]Sheet3!PivotTable3</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5875" cap="rnd">
            <a:gradFill flip="none" rotWithShape="1">
              <a:gsLst>
                <a:gs pos="44000">
                  <a:schemeClr val="accent1">
                    <a:lumMod val="5000"/>
                    <a:lumOff val="95000"/>
                  </a:schemeClr>
                </a:gs>
                <a:gs pos="100000">
                  <a:srgbClr val="F57E1B">
                    <a:alpha val="40000"/>
                  </a:srgbClr>
                </a:gs>
              </a:gsLst>
              <a:path path="shape">
                <a:fillToRect l="50000" t="50000" r="50000" b="50000"/>
              </a:path>
              <a:tileRect/>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15875" cap="rnd">
              <a:gradFill flip="none" rotWithShape="1">
                <a:gsLst>
                  <a:gs pos="44000">
                    <a:schemeClr val="accent1">
                      <a:lumMod val="5000"/>
                      <a:lumOff val="95000"/>
                    </a:schemeClr>
                  </a:gs>
                  <a:gs pos="100000">
                    <a:srgbClr val="F57E1B">
                      <a:alpha val="40000"/>
                    </a:srgbClr>
                  </a:gs>
                </a:gsLst>
                <a:path path="shape">
                  <a:fillToRect l="50000" t="50000" r="50000" b="50000"/>
                </a:path>
                <a:tileRect/>
              </a:gradFill>
              <a:round/>
            </a:ln>
            <a:effectLst/>
          </c:spPr>
          <c:marker>
            <c:symbol val="none"/>
          </c:marker>
          <c:cat>
            <c:multiLvlStrRef>
              <c:f>Sheet3!$A$4:$A$35</c:f>
              <c:multiLvlStrCache>
                <c:ptCount val="30"/>
                <c:lvl>
                  <c:pt idx="0">
                    <c:v>01-01-2025</c:v>
                  </c:pt>
                  <c:pt idx="1">
                    <c:v>02-01-2025</c:v>
                  </c:pt>
                  <c:pt idx="2">
                    <c:v>03-01-2025</c:v>
                  </c:pt>
                  <c:pt idx="3">
                    <c:v>05-01-2025</c:v>
                  </c:pt>
                  <c:pt idx="4">
                    <c:v>06-01-2025</c:v>
                  </c:pt>
                  <c:pt idx="5">
                    <c:v>07-01-2025</c:v>
                  </c:pt>
                  <c:pt idx="6">
                    <c:v>08-01-2025</c:v>
                  </c:pt>
                  <c:pt idx="7">
                    <c:v>09-01-2025</c:v>
                  </c:pt>
                  <c:pt idx="8">
                    <c:v>10-01-2025</c:v>
                  </c:pt>
                  <c:pt idx="9">
                    <c:v>11-01-2025</c:v>
                  </c:pt>
                  <c:pt idx="10">
                    <c:v>12-01-2025</c:v>
                  </c:pt>
                  <c:pt idx="11">
                    <c:v>13-01-2025</c:v>
                  </c:pt>
                  <c:pt idx="12">
                    <c:v>14-01-2025</c:v>
                  </c:pt>
                  <c:pt idx="13">
                    <c:v>15-01-2025</c:v>
                  </c:pt>
                  <c:pt idx="14">
                    <c:v>16-01-2025</c:v>
                  </c:pt>
                  <c:pt idx="15">
                    <c:v>17-01-2025</c:v>
                  </c:pt>
                  <c:pt idx="16">
                    <c:v>18-01-2025</c:v>
                  </c:pt>
                  <c:pt idx="17">
                    <c:v>19-01-2025</c:v>
                  </c:pt>
                  <c:pt idx="18">
                    <c:v>20-01-2025</c:v>
                  </c:pt>
                  <c:pt idx="19">
                    <c:v>21-01-2025</c:v>
                  </c:pt>
                  <c:pt idx="20">
                    <c:v>22-01-2025</c:v>
                  </c:pt>
                  <c:pt idx="21">
                    <c:v>23-01-2025</c:v>
                  </c:pt>
                  <c:pt idx="22">
                    <c:v>24-01-2025</c:v>
                  </c:pt>
                  <c:pt idx="23">
                    <c:v>25-01-2025</c:v>
                  </c:pt>
                  <c:pt idx="24">
                    <c:v>26-01-2025</c:v>
                  </c:pt>
                  <c:pt idx="25">
                    <c:v>27-01-2025</c:v>
                  </c:pt>
                  <c:pt idx="26">
                    <c:v>28-01-2025</c:v>
                  </c:pt>
                  <c:pt idx="27">
                    <c:v>29-01-2025</c:v>
                  </c:pt>
                  <c:pt idx="28">
                    <c:v>30-01-2025</c:v>
                  </c:pt>
                  <c:pt idx="29">
                    <c:v>31-01-2025</c:v>
                  </c:pt>
                </c:lvl>
                <c:lvl>
                  <c:pt idx="0">
                    <c:v>Jan</c:v>
                  </c:pt>
                </c:lvl>
              </c:multiLvlStrCache>
            </c:multiLvlStrRef>
          </c:cat>
          <c:val>
            <c:numRef>
              <c:f>Sheet3!$B$4:$B$35</c:f>
              <c:numCache>
                <c:formatCode>_-[$$-409]* #,##0.00_ ;_-[$$-409]* \-#,##0.00\ ;_-[$$-409]* "-"??_ ;_-@_ </c:formatCode>
                <c:ptCount val="30"/>
                <c:pt idx="0">
                  <c:v>1826081</c:v>
                </c:pt>
                <c:pt idx="1">
                  <c:v>3737844</c:v>
                </c:pt>
                <c:pt idx="2">
                  <c:v>745191</c:v>
                </c:pt>
                <c:pt idx="3">
                  <c:v>0</c:v>
                </c:pt>
                <c:pt idx="4">
                  <c:v>881776</c:v>
                </c:pt>
                <c:pt idx="5">
                  <c:v>1634479</c:v>
                </c:pt>
                <c:pt idx="6">
                  <c:v>561219</c:v>
                </c:pt>
                <c:pt idx="7">
                  <c:v>0</c:v>
                </c:pt>
                <c:pt idx="8">
                  <c:v>0</c:v>
                </c:pt>
                <c:pt idx="9">
                  <c:v>402008</c:v>
                </c:pt>
                <c:pt idx="10">
                  <c:v>0</c:v>
                </c:pt>
                <c:pt idx="11">
                  <c:v>0</c:v>
                </c:pt>
                <c:pt idx="12">
                  <c:v>0</c:v>
                </c:pt>
                <c:pt idx="13">
                  <c:v>0</c:v>
                </c:pt>
                <c:pt idx="14">
                  <c:v>0</c:v>
                </c:pt>
                <c:pt idx="15">
                  <c:v>1969180</c:v>
                </c:pt>
                <c:pt idx="16">
                  <c:v>2329495</c:v>
                </c:pt>
                <c:pt idx="17">
                  <c:v>280494</c:v>
                </c:pt>
                <c:pt idx="18">
                  <c:v>74718</c:v>
                </c:pt>
                <c:pt idx="19">
                  <c:v>0</c:v>
                </c:pt>
                <c:pt idx="20">
                  <c:v>680979</c:v>
                </c:pt>
                <c:pt idx="21">
                  <c:v>0</c:v>
                </c:pt>
                <c:pt idx="22">
                  <c:v>2333630</c:v>
                </c:pt>
                <c:pt idx="23">
                  <c:v>0</c:v>
                </c:pt>
                <c:pt idx="24">
                  <c:v>996854</c:v>
                </c:pt>
                <c:pt idx="25">
                  <c:v>1065873</c:v>
                </c:pt>
                <c:pt idx="26">
                  <c:v>718061</c:v>
                </c:pt>
                <c:pt idx="27">
                  <c:v>0</c:v>
                </c:pt>
                <c:pt idx="28">
                  <c:v>0</c:v>
                </c:pt>
                <c:pt idx="29">
                  <c:v>98409</c:v>
                </c:pt>
              </c:numCache>
            </c:numRef>
          </c:val>
          <c:smooth val="1"/>
          <c:extLst>
            <c:ext xmlns:c16="http://schemas.microsoft.com/office/drawing/2014/chart" uri="{C3380CC4-5D6E-409C-BE32-E72D297353CC}">
              <c16:uniqueId val="{00000000-A013-41EE-8763-D68CF629CF46}"/>
            </c:ext>
          </c:extLst>
        </c:ser>
        <c:dLbls>
          <c:showLegendKey val="0"/>
          <c:showVal val="0"/>
          <c:showCatName val="0"/>
          <c:showSerName val="0"/>
          <c:showPercent val="0"/>
          <c:showBubbleSize val="0"/>
        </c:dLbls>
        <c:smooth val="0"/>
        <c:axId val="710088640"/>
        <c:axId val="311756912"/>
      </c:lineChart>
      <c:catAx>
        <c:axId val="710088640"/>
        <c:scaling>
          <c:orientation val="minMax"/>
        </c:scaling>
        <c:delete val="1"/>
        <c:axPos val="b"/>
        <c:numFmt formatCode="General" sourceLinked="1"/>
        <c:majorTickMark val="none"/>
        <c:minorTickMark val="none"/>
        <c:tickLblPos val="nextTo"/>
        <c:crossAx val="311756912"/>
        <c:crosses val="autoZero"/>
        <c:auto val="1"/>
        <c:lblAlgn val="ctr"/>
        <c:lblOffset val="100"/>
        <c:noMultiLvlLbl val="0"/>
      </c:catAx>
      <c:valAx>
        <c:axId val="311756912"/>
        <c:scaling>
          <c:orientation val="minMax"/>
          <c:max val="4200000"/>
        </c:scaling>
        <c:delete val="1"/>
        <c:axPos val="l"/>
        <c:numFmt formatCode="_-[$$-409]* #,##0.00_ ;_-[$$-409]* \-#,##0.00\ ;_-[$$-409]* &quot;-&quot;??_ ;_-@_ " sourceLinked="1"/>
        <c:majorTickMark val="none"/>
        <c:minorTickMark val="none"/>
        <c:tickLblPos val="nextTo"/>
        <c:crossAx val="710088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[Dashboard.xlsx]Sheet4!PivotTable4</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w="0">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Bodoni MT Condensed" panose="020706060806060202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81A02"/>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Bodoni MT Condensed" panose="020706060806060202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50112960162981"/>
          <c:y val="0.1161617721642592"/>
          <c:w val="0.53041589575893178"/>
          <c:h val="0.69815616797900248"/>
        </c:manualLayout>
      </c:layout>
      <c:barChart>
        <c:barDir val="col"/>
        <c:grouping val="clustered"/>
        <c:varyColors val="0"/>
        <c:ser>
          <c:idx val="0"/>
          <c:order val="0"/>
          <c:tx>
            <c:strRef>
              <c:f>Sheet4!$B$3</c:f>
              <c:strCache>
                <c:ptCount val="1"/>
                <c:pt idx="0">
                  <c:v>Sum of Deposit Amount</c:v>
                </c:pt>
              </c:strCache>
            </c:strRef>
          </c:tx>
          <c:spPr>
            <a:solidFill>
              <a:schemeClr val="bg1"/>
            </a:solidFill>
            <a:ln w="0">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Bodoni MT Condensed" panose="020706060806060202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c:f>
              <c:strCache>
                <c:ptCount val="1"/>
                <c:pt idx="0">
                  <c:v>Jan</c:v>
                </c:pt>
              </c:strCache>
            </c:strRef>
          </c:cat>
          <c:val>
            <c:numRef>
              <c:f>Sheet4!$B$4</c:f>
              <c:numCache>
                <c:formatCode>_-[$$-409]* #,##0.00_ ;_-[$$-409]* \-#,##0.00\ ;_-[$$-409]* "-"??_ ;_-@_ </c:formatCode>
                <c:ptCount val="1"/>
                <c:pt idx="0">
                  <c:v>2117660</c:v>
                </c:pt>
              </c:numCache>
            </c:numRef>
          </c:val>
          <c:extLst>
            <c:ext xmlns:c16="http://schemas.microsoft.com/office/drawing/2014/chart" uri="{C3380CC4-5D6E-409C-BE32-E72D297353CC}">
              <c16:uniqueId val="{00000000-8F6C-4D1F-B718-1F3EF5260E20}"/>
            </c:ext>
          </c:extLst>
        </c:ser>
        <c:ser>
          <c:idx val="1"/>
          <c:order val="1"/>
          <c:tx>
            <c:strRef>
              <c:f>Sheet4!$C$3</c:f>
              <c:strCache>
                <c:ptCount val="1"/>
                <c:pt idx="0">
                  <c:v>Sum of Withdrawal Amount</c:v>
                </c:pt>
              </c:strCache>
            </c:strRef>
          </c:tx>
          <c:spPr>
            <a:solidFill>
              <a:srgbClr val="381A02"/>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Bodoni MT Condensed" panose="020706060806060202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c:f>
              <c:strCache>
                <c:ptCount val="1"/>
                <c:pt idx="0">
                  <c:v>Jan</c:v>
                </c:pt>
              </c:strCache>
            </c:strRef>
          </c:cat>
          <c:val>
            <c:numRef>
              <c:f>Sheet4!$C$4</c:f>
              <c:numCache>
                <c:formatCode>_-[$$-409]* #,##0.00_ ;_-[$$-409]* \-#,##0.00\ ;_-[$$-409]* "-"??_ ;_-@_ </c:formatCode>
                <c:ptCount val="1"/>
                <c:pt idx="0">
                  <c:v>888857</c:v>
                </c:pt>
              </c:numCache>
            </c:numRef>
          </c:val>
          <c:extLst>
            <c:ext xmlns:c16="http://schemas.microsoft.com/office/drawing/2014/chart" uri="{C3380CC4-5D6E-409C-BE32-E72D297353CC}">
              <c16:uniqueId val="{00000001-8F6C-4D1F-B718-1F3EF5260E20}"/>
            </c:ext>
          </c:extLst>
        </c:ser>
        <c:dLbls>
          <c:dLblPos val="outEnd"/>
          <c:showLegendKey val="0"/>
          <c:showVal val="1"/>
          <c:showCatName val="0"/>
          <c:showSerName val="0"/>
          <c:showPercent val="0"/>
          <c:showBubbleSize val="0"/>
        </c:dLbls>
        <c:gapWidth val="219"/>
        <c:overlap val="-27"/>
        <c:axId val="774705632"/>
        <c:axId val="787399728"/>
      </c:barChart>
      <c:catAx>
        <c:axId val="774705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bg1"/>
                </a:solidFill>
                <a:latin typeface="Bodoni MT" panose="02070603080606020203" pitchFamily="18" charset="0"/>
                <a:ea typeface="+mn-ea"/>
                <a:cs typeface="+mn-cs"/>
              </a:defRPr>
            </a:pPr>
            <a:endParaRPr lang="en-US"/>
          </a:p>
        </c:txPr>
        <c:crossAx val="787399728"/>
        <c:crosses val="autoZero"/>
        <c:auto val="1"/>
        <c:lblAlgn val="ctr"/>
        <c:lblOffset val="100"/>
        <c:noMultiLvlLbl val="0"/>
      </c:catAx>
      <c:valAx>
        <c:axId val="787399728"/>
        <c:scaling>
          <c:orientation val="minMax"/>
          <c:max val="4000000"/>
        </c:scaling>
        <c:delete val="0"/>
        <c:axPos val="l"/>
        <c:numFmt formatCode="\$#,##0.00,,&quot;M&quot;"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Bodoni MT Condensed" panose="02070606080606020203" pitchFamily="18" charset="0"/>
                <a:ea typeface="+mn-ea"/>
                <a:cs typeface="+mn-cs"/>
              </a:defRPr>
            </a:pPr>
            <a:endParaRPr lang="en-US"/>
          </a:p>
        </c:txPr>
        <c:crossAx val="774705632"/>
        <c:crosses val="autoZero"/>
        <c:crossBetween val="between"/>
        <c:majorUnit val="10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[Dashboard.xlsx]Sheet5!PivotTable6</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3"/>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4"/>
        <c:spPr>
          <a:gradFill>
            <a:gsLst>
              <a:gs pos="0">
                <a:srgbClr val="F7994B"/>
              </a:gs>
              <a:gs pos="100000">
                <a:srgbClr val="F57E1B"/>
              </a:gs>
            </a:gsLst>
            <a:lin ang="5400000" scaled="1"/>
          </a:gradFill>
          <a:ln>
            <a:noFill/>
          </a:ln>
          <a:effectLst/>
        </c:spPr>
        <c:marker>
          <c:symbol val="none"/>
        </c:marker>
        <c:dLbl>
          <c:idx val="0"/>
          <c:numFmt formatCode="\$#,##0.0,&quot;K&quot;" sourceLinked="0"/>
          <c:spPr>
            <a:solidFill>
              <a:srgbClr val="683104"/>
            </a:solidFill>
            <a:ln>
              <a:solidFill>
                <a:srgbClr val="683104"/>
              </a:solidFill>
            </a:ln>
            <a:effectLst/>
          </c:spPr>
          <c:txPr>
            <a:bodyPr rot="0" spcFirstLastPara="1" vertOverflow="clip" horzOverflow="clip" vert="horz" wrap="square" lIns="36576" tIns="18288" rIns="36576" bIns="18288" anchor="ctr" anchorCtr="1">
              <a:spAutoFit/>
            </a:bodyPr>
            <a:lstStyle/>
            <a:p>
              <a:pPr>
                <a:defRPr sz="500" b="0" i="0" u="none" strike="noStrike" kern="1200" baseline="0">
                  <a:solidFill>
                    <a:schemeClr val="bg1"/>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Sheet5!$B$3:$B$4</c:f>
              <c:strCache>
                <c:ptCount val="1"/>
                <c:pt idx="0">
                  <c:v>Jan</c:v>
                </c:pt>
              </c:strCache>
            </c:strRef>
          </c:tx>
          <c:spPr>
            <a:gradFill>
              <a:gsLst>
                <a:gs pos="0">
                  <a:srgbClr val="F7994B"/>
                </a:gs>
                <a:gs pos="100000">
                  <a:srgbClr val="F57E1B"/>
                </a:gs>
              </a:gsLst>
              <a:lin ang="5400000" scaled="1"/>
            </a:gradFill>
            <a:ln>
              <a:noFill/>
            </a:ln>
            <a:effectLst/>
          </c:spPr>
          <c:invertIfNegative val="0"/>
          <c:dLbls>
            <c:numFmt formatCode="\$#,##0.0,&quot;K&quot;" sourceLinked="0"/>
            <c:spPr>
              <a:solidFill>
                <a:srgbClr val="683104"/>
              </a:solidFill>
              <a:ln>
                <a:solidFill>
                  <a:srgbClr val="683104"/>
                </a:solidFill>
              </a:ln>
              <a:effectLst/>
            </c:spPr>
            <c:txPr>
              <a:bodyPr rot="0" spcFirstLastPara="1" vertOverflow="clip" horzOverflow="clip" vert="horz" wrap="square" lIns="36576" tIns="18288" rIns="36576" bIns="18288" anchor="ctr" anchorCtr="1">
                <a:spAutoFit/>
              </a:bodyPr>
              <a:lstStyle/>
              <a:p>
                <a:pPr>
                  <a:defRPr sz="500" b="0" i="0" u="none" strike="noStrike" kern="1200" baseline="0">
                    <a:solidFill>
                      <a:schemeClr val="bg1"/>
                    </a:solidFill>
                    <a:latin typeface="+mj-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Sheet5!$A$5:$A$11</c:f>
              <c:strCache>
                <c:ptCount val="7"/>
                <c:pt idx="0">
                  <c:v>Bengaluru</c:v>
                </c:pt>
                <c:pt idx="1">
                  <c:v>Chennai</c:v>
                </c:pt>
                <c:pt idx="2">
                  <c:v>Delhi</c:v>
                </c:pt>
                <c:pt idx="3">
                  <c:v>Hyderabad</c:v>
                </c:pt>
                <c:pt idx="4">
                  <c:v>Mumbai</c:v>
                </c:pt>
                <c:pt idx="5">
                  <c:v>Pune</c:v>
                </c:pt>
                <c:pt idx="6">
                  <c:v>Unknown</c:v>
                </c:pt>
              </c:strCache>
            </c:strRef>
          </c:cat>
          <c:val>
            <c:numRef>
              <c:f>Sheet5!$B$5:$B$11</c:f>
              <c:numCache>
                <c:formatCode>General</c:formatCode>
                <c:ptCount val="7"/>
                <c:pt idx="0">
                  <c:v>51520</c:v>
                </c:pt>
                <c:pt idx="1">
                  <c:v>548374</c:v>
                </c:pt>
                <c:pt idx="2">
                  <c:v>93735</c:v>
                </c:pt>
                <c:pt idx="3">
                  <c:v>794154</c:v>
                </c:pt>
                <c:pt idx="4">
                  <c:v>529112</c:v>
                </c:pt>
                <c:pt idx="5">
                  <c:v>100765</c:v>
                </c:pt>
                <c:pt idx="6">
                  <c:v>0</c:v>
                </c:pt>
              </c:numCache>
            </c:numRef>
          </c:val>
          <c:extLst>
            <c:ext xmlns:c16="http://schemas.microsoft.com/office/drawing/2014/chart" uri="{C3380CC4-5D6E-409C-BE32-E72D297353CC}">
              <c16:uniqueId val="{00000000-A6AE-4763-A078-5C2FD9D25318}"/>
            </c:ext>
          </c:extLst>
        </c:ser>
        <c:dLbls>
          <c:dLblPos val="outEnd"/>
          <c:showLegendKey val="0"/>
          <c:showVal val="1"/>
          <c:showCatName val="0"/>
          <c:showSerName val="0"/>
          <c:showPercent val="0"/>
          <c:showBubbleSize val="0"/>
        </c:dLbls>
        <c:gapWidth val="219"/>
        <c:overlap val="-27"/>
        <c:axId val="1490289279"/>
        <c:axId val="1305053295"/>
      </c:barChart>
      <c:catAx>
        <c:axId val="14902892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bg1"/>
                </a:solidFill>
                <a:latin typeface="Bahnschrift Condensed" panose="020B0502040204020203" pitchFamily="34" charset="0"/>
                <a:ea typeface="+mn-ea"/>
                <a:cs typeface="+mn-cs"/>
              </a:defRPr>
            </a:pPr>
            <a:endParaRPr lang="en-US"/>
          </a:p>
        </c:txPr>
        <c:crossAx val="1305053295"/>
        <c:crosses val="autoZero"/>
        <c:auto val="1"/>
        <c:lblAlgn val="ctr"/>
        <c:lblOffset val="100"/>
        <c:noMultiLvlLbl val="0"/>
      </c:catAx>
      <c:valAx>
        <c:axId val="1305053295"/>
        <c:scaling>
          <c:orientation val="minMax"/>
          <c:max val="1000000"/>
        </c:scaling>
        <c:delete val="0"/>
        <c:axPos val="l"/>
        <c:numFmt formatCode="\$#,##0.0,&quot;K&quot;" sourceLinked="0"/>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Bodoni MT Condensed" panose="02070606080606020203" pitchFamily="18" charset="0"/>
                <a:ea typeface="+mn-ea"/>
                <a:cs typeface="+mn-cs"/>
              </a:defRPr>
            </a:pPr>
            <a:endParaRPr lang="en-US"/>
          </a:p>
        </c:txPr>
        <c:crossAx val="1490289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[Dashboard.xlsx]Sheet6!PivotTable1</c:name>
    <c:fmtId val="5"/>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22225" cap="rnd" cmpd="sng">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8"/>
        <c:spPr>
          <a:solidFill>
            <a:srgbClr val="F7994B"/>
          </a:solidFill>
          <a:ln w="22225" cap="rnd" cmpd="sng">
            <a:noFill/>
          </a:ln>
          <a:effectLst/>
        </c:spPr>
      </c:pivotFmt>
      <c:pivotFmt>
        <c:idx val="69"/>
        <c:spPr>
          <a:solidFill>
            <a:srgbClr val="DE4500"/>
          </a:solidFill>
          <a:ln w="22225" cap="rnd" cmpd="sng">
            <a:noFill/>
          </a:ln>
          <a:effectLst/>
        </c:spPr>
      </c:pivotFmt>
      <c:pivotFmt>
        <c:idx val="70"/>
        <c:spPr>
          <a:solidFill>
            <a:srgbClr val="C35D09"/>
          </a:solidFill>
          <a:ln w="22225" cap="rnd" cmpd="sng">
            <a:noFill/>
            <a:miter lim="800000"/>
          </a:ln>
          <a:effectLst/>
        </c:spPr>
      </c:pivotFmt>
      <c:pivotFmt>
        <c:idx val="71"/>
        <c:spPr>
          <a:solidFill>
            <a:srgbClr val="A54C03"/>
          </a:solidFill>
          <a:ln w="22225" cap="rnd" cmpd="sng">
            <a:noFill/>
          </a:ln>
          <a:effectLst/>
        </c:spPr>
      </c:pivotFmt>
      <c:pivotFmt>
        <c:idx val="72"/>
        <c:spPr>
          <a:solidFill>
            <a:schemeClr val="accent6">
              <a:lumMod val="40000"/>
              <a:lumOff val="60000"/>
            </a:schemeClr>
          </a:solidFill>
          <a:ln w="22225" cap="rnd" cmpd="sng">
            <a:noFill/>
          </a:ln>
          <a:effectLst/>
        </c:spPr>
      </c:pivotFmt>
      <c:pivotFmt>
        <c:idx val="73"/>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w="19050">
            <a:solidFill>
              <a:schemeClr val="lt1"/>
            </a:solidFill>
          </a:ln>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solidFill>
          <a:ln w="19050">
            <a:solidFill>
              <a:schemeClr val="lt1"/>
            </a:solidFill>
          </a:ln>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76"/>
        <c:spPr>
          <a:solidFill>
            <a:schemeClr val="accent1"/>
          </a:solidFill>
          <a:ln w="19050">
            <a:solidFill>
              <a:schemeClr val="lt1"/>
            </a:solidFill>
          </a:ln>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77"/>
        <c:spPr>
          <a:solidFill>
            <a:schemeClr val="accent1"/>
          </a:solidFill>
          <a:ln w="19050">
            <a:solidFill>
              <a:schemeClr val="lt1"/>
            </a:solidFill>
          </a:ln>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78"/>
        <c:spPr>
          <a:solidFill>
            <a:schemeClr val="accent1"/>
          </a:solidFill>
          <a:ln w="19050">
            <a:solidFill>
              <a:schemeClr val="lt1"/>
            </a:solidFill>
          </a:ln>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solidFill>
          <a:ln w="19050">
            <a:solidFill>
              <a:schemeClr val="lt1"/>
            </a:solidFill>
          </a:ln>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80"/>
        <c:spPr>
          <a:solidFill>
            <a:schemeClr val="accent1"/>
          </a:solidFill>
          <a:ln w="19050">
            <a:solidFill>
              <a:schemeClr val="lt1"/>
            </a:solidFill>
          </a:ln>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81"/>
        <c:spPr>
          <a:solidFill>
            <a:schemeClr val="accent1"/>
          </a:solidFill>
          <a:ln w="19050">
            <a:solidFill>
              <a:schemeClr val="lt1"/>
            </a:solidFill>
          </a:ln>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82"/>
        <c:spPr>
          <a:solidFill>
            <a:schemeClr val="accent1"/>
          </a:solidFill>
          <a:ln w="19050">
            <a:solidFill>
              <a:schemeClr val="lt1"/>
            </a:solidFill>
          </a:ln>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solidFill>
          <a:ln w="19050">
            <a:solidFill>
              <a:schemeClr val="lt1"/>
            </a:solidFill>
          </a:ln>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7.9408827092907919E-2"/>
          <c:y val="0.24635814986920318"/>
          <c:w val="0.59249890453619258"/>
          <c:h val="0.6279204973613296"/>
        </c:manualLayout>
      </c:layout>
      <c:doughnutChart>
        <c:varyColors val="1"/>
        <c:ser>
          <c:idx val="0"/>
          <c:order val="0"/>
          <c:tx>
            <c:strRef>
              <c:f>Sheet6!$B$3:$B$4</c:f>
              <c:strCache>
                <c:ptCount val="1"/>
                <c:pt idx="0">
                  <c:v>Jan</c:v>
                </c:pt>
              </c:strCache>
            </c:strRef>
          </c:tx>
          <c:spPr>
            <a:ln w="22225" cap="rnd" cmpd="sng">
              <a:solidFill>
                <a:schemeClr val="bg1"/>
              </a:solidFill>
            </a:ln>
          </c:spPr>
          <c:dPt>
            <c:idx val="0"/>
            <c:bubble3D val="0"/>
            <c:spPr>
              <a:solidFill>
                <a:srgbClr val="F7994B"/>
              </a:solidFill>
              <a:ln w="22225" cap="rnd" cmpd="sng">
                <a:noFill/>
              </a:ln>
              <a:effectLst/>
            </c:spPr>
            <c:extLst>
              <c:ext xmlns:c16="http://schemas.microsoft.com/office/drawing/2014/chart" uri="{C3380CC4-5D6E-409C-BE32-E72D297353CC}">
                <c16:uniqueId val="{00000001-1457-4DD4-8497-D810671ABEB1}"/>
              </c:ext>
            </c:extLst>
          </c:dPt>
          <c:dPt>
            <c:idx val="1"/>
            <c:bubble3D val="0"/>
            <c:spPr>
              <a:solidFill>
                <a:srgbClr val="DE4500"/>
              </a:solidFill>
              <a:ln w="22225" cap="rnd" cmpd="sng">
                <a:noFill/>
              </a:ln>
              <a:effectLst/>
            </c:spPr>
            <c:extLst>
              <c:ext xmlns:c16="http://schemas.microsoft.com/office/drawing/2014/chart" uri="{C3380CC4-5D6E-409C-BE32-E72D297353CC}">
                <c16:uniqueId val="{00000003-1457-4DD4-8497-D810671ABEB1}"/>
              </c:ext>
            </c:extLst>
          </c:dPt>
          <c:dPt>
            <c:idx val="2"/>
            <c:bubble3D val="0"/>
            <c:spPr>
              <a:solidFill>
                <a:srgbClr val="C35D09"/>
              </a:solidFill>
              <a:ln w="22225" cap="rnd" cmpd="sng">
                <a:noFill/>
                <a:miter lim="800000"/>
              </a:ln>
              <a:effectLst/>
            </c:spPr>
            <c:extLst>
              <c:ext xmlns:c16="http://schemas.microsoft.com/office/drawing/2014/chart" uri="{C3380CC4-5D6E-409C-BE32-E72D297353CC}">
                <c16:uniqueId val="{00000005-1457-4DD4-8497-D810671ABEB1}"/>
              </c:ext>
            </c:extLst>
          </c:dPt>
          <c:dPt>
            <c:idx val="3"/>
            <c:bubble3D val="0"/>
            <c:spPr>
              <a:solidFill>
                <a:srgbClr val="A54C03"/>
              </a:solidFill>
              <a:ln w="22225" cap="rnd" cmpd="sng">
                <a:noFill/>
              </a:ln>
              <a:effectLst/>
            </c:spPr>
            <c:extLst>
              <c:ext xmlns:c16="http://schemas.microsoft.com/office/drawing/2014/chart" uri="{C3380CC4-5D6E-409C-BE32-E72D297353CC}">
                <c16:uniqueId val="{00000007-1457-4DD4-8497-D810671ABEB1}"/>
              </c:ext>
            </c:extLst>
          </c:dPt>
          <c:dPt>
            <c:idx val="4"/>
            <c:bubble3D val="0"/>
            <c:spPr>
              <a:solidFill>
                <a:schemeClr val="accent6">
                  <a:lumMod val="40000"/>
                  <a:lumOff val="60000"/>
                </a:schemeClr>
              </a:solidFill>
              <a:ln w="22225" cap="rnd" cmpd="sng">
                <a:noFill/>
              </a:ln>
              <a:effectLst/>
            </c:spPr>
            <c:extLst>
              <c:ext xmlns:c16="http://schemas.microsoft.com/office/drawing/2014/chart" uri="{C3380CC4-5D6E-409C-BE32-E72D297353CC}">
                <c16:uniqueId val="{00000009-1457-4DD4-8497-D810671ABEB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Sheet6!$A$5:$A$9</c:f>
              <c:strCache>
                <c:ptCount val="5"/>
                <c:pt idx="0">
                  <c:v>Closed</c:v>
                </c:pt>
                <c:pt idx="1">
                  <c:v>Default</c:v>
                </c:pt>
                <c:pt idx="2">
                  <c:v>Disbursed</c:v>
                </c:pt>
                <c:pt idx="3">
                  <c:v>N/A</c:v>
                </c:pt>
                <c:pt idx="4">
                  <c:v>Pending</c:v>
                </c:pt>
              </c:strCache>
            </c:strRef>
          </c:cat>
          <c:val>
            <c:numRef>
              <c:f>Sheet6!$B$5:$B$9</c:f>
              <c:numCache>
                <c:formatCode>General</c:formatCode>
                <c:ptCount val="5"/>
                <c:pt idx="0">
                  <c:v>7</c:v>
                </c:pt>
                <c:pt idx="1">
                  <c:v>4</c:v>
                </c:pt>
                <c:pt idx="2">
                  <c:v>18</c:v>
                </c:pt>
                <c:pt idx="3">
                  <c:v>56</c:v>
                </c:pt>
                <c:pt idx="4">
                  <c:v>8</c:v>
                </c:pt>
              </c:numCache>
            </c:numRef>
          </c:val>
          <c:extLst>
            <c:ext xmlns:c16="http://schemas.microsoft.com/office/drawing/2014/chart" uri="{C3380CC4-5D6E-409C-BE32-E72D297353CC}">
              <c16:uniqueId val="{0000000A-1457-4DD4-8497-D810671ABEB1}"/>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2925909738696904"/>
          <c:y val="0.31704602289777845"/>
          <c:w val="0.27074087676003566"/>
          <c:h val="0.50518792001236734"/>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bg1"/>
              </a:solidFill>
              <a:latin typeface="Bodoni MT" panose="020706030806060202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[Dashboard.xlsx]Sheet8!PivotTable2</c:name>
    <c:fmtId val="2"/>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w="19050">
            <a:solidFill>
              <a:schemeClr val="lt1"/>
            </a:solidFill>
          </a:ln>
          <a:effectLst/>
        </c:spPr>
      </c:pivotFmt>
      <c:pivotFmt>
        <c:idx val="14"/>
        <c:spPr>
          <a:solidFill>
            <a:schemeClr val="accent6"/>
          </a:solidFill>
          <a:ln w="19050">
            <a:solidFill>
              <a:schemeClr val="lt1"/>
            </a:solidFill>
          </a:ln>
          <a:effectLst/>
        </c:spPr>
      </c:pivotFmt>
      <c:pivotFmt>
        <c:idx val="1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w="19050">
            <a:solidFill>
              <a:schemeClr val="lt1"/>
            </a:solidFill>
          </a:ln>
          <a:effectLst/>
        </c:spPr>
      </c:pivotFmt>
      <c:pivotFmt>
        <c:idx val="17"/>
        <c:spPr>
          <a:solidFill>
            <a:schemeClr val="accent6"/>
          </a:solidFill>
          <a:ln w="19050">
            <a:solidFill>
              <a:schemeClr val="lt1"/>
            </a:solidFill>
          </a:ln>
          <a:effectLst/>
        </c:spPr>
      </c:pivotFmt>
      <c:pivotFmt>
        <c:idx val="18"/>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w="19050">
            <a:solidFill>
              <a:schemeClr val="lt1"/>
            </a:solidFill>
          </a:ln>
          <a:effectLst/>
        </c:spPr>
      </c:pivotFmt>
      <c:pivotFmt>
        <c:idx val="20"/>
        <c:spPr>
          <a:solidFill>
            <a:schemeClr val="accent6"/>
          </a:solidFill>
          <a:ln w="19050">
            <a:solidFill>
              <a:schemeClr val="lt1"/>
            </a:solidFill>
          </a:ln>
          <a:effectLst/>
        </c:spPr>
      </c:pivotFmt>
      <c:pivotFmt>
        <c:idx val="2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solidFill>
          <a:ln w="19050">
            <a:solidFill>
              <a:schemeClr val="lt1"/>
            </a:solidFill>
          </a:ln>
          <a:effectLst/>
        </c:spPr>
      </c:pivotFmt>
      <c:pivotFmt>
        <c:idx val="23"/>
        <c:spPr>
          <a:solidFill>
            <a:schemeClr val="accent6"/>
          </a:solidFill>
          <a:ln w="19050">
            <a:solidFill>
              <a:schemeClr val="lt1"/>
            </a:solidFill>
          </a:ln>
          <a:effectLst/>
        </c:spPr>
      </c:pivotFmt>
      <c:pivotFmt>
        <c:idx val="2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6"/>
          </a:solidFill>
          <a:ln w="19050">
            <a:solidFill>
              <a:schemeClr val="lt1"/>
            </a:solidFill>
          </a:ln>
          <a:effectLst/>
        </c:spPr>
      </c:pivotFmt>
      <c:pivotFmt>
        <c:idx val="26"/>
        <c:spPr>
          <a:solidFill>
            <a:schemeClr val="accent6"/>
          </a:solidFill>
          <a:ln w="19050">
            <a:solidFill>
              <a:schemeClr val="lt1"/>
            </a:solidFill>
          </a:ln>
          <a:effectLst/>
        </c:spPr>
      </c:pivotFmt>
      <c:pivotFmt>
        <c:idx val="27"/>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6"/>
          </a:solidFill>
          <a:ln w="19050">
            <a:solidFill>
              <a:schemeClr val="lt1"/>
            </a:solidFill>
          </a:ln>
          <a:effectLst/>
        </c:spPr>
      </c:pivotFmt>
      <c:pivotFmt>
        <c:idx val="29"/>
        <c:spPr>
          <a:solidFill>
            <a:schemeClr val="accent6"/>
          </a:solidFill>
          <a:ln w="19050">
            <a:solidFill>
              <a:schemeClr val="lt1"/>
            </a:solidFill>
          </a:ln>
          <a:effectLst/>
        </c:spPr>
      </c:pivotFmt>
      <c:pivotFmt>
        <c:idx val="3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w="19050">
            <a:solidFill>
              <a:schemeClr val="lt1"/>
            </a:solidFill>
          </a:ln>
          <a:effectLst/>
        </c:spPr>
      </c:pivotFmt>
      <c:pivotFmt>
        <c:idx val="32"/>
        <c:spPr>
          <a:solidFill>
            <a:schemeClr val="accent6"/>
          </a:solidFill>
          <a:ln w="19050">
            <a:solidFill>
              <a:schemeClr val="lt1"/>
            </a:solidFill>
          </a:ln>
          <a:effectLst/>
        </c:spPr>
      </c:pivotFmt>
      <c:pivotFmt>
        <c:idx val="3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6"/>
          </a:solidFill>
          <a:ln w="19050">
            <a:solidFill>
              <a:schemeClr val="lt1"/>
            </a:solidFill>
          </a:ln>
          <a:effectLst/>
        </c:spPr>
      </c:pivotFmt>
      <c:pivotFmt>
        <c:idx val="35"/>
        <c:spPr>
          <a:solidFill>
            <a:schemeClr val="accent6"/>
          </a:solidFill>
          <a:ln w="19050">
            <a:solidFill>
              <a:schemeClr val="lt1"/>
            </a:solidFill>
          </a:ln>
          <a:effectLst/>
        </c:spPr>
      </c:pivotFmt>
      <c:pivotFmt>
        <c:idx val="3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6"/>
          </a:solidFill>
          <a:ln w="19050">
            <a:solidFill>
              <a:schemeClr val="lt1"/>
            </a:solidFill>
          </a:ln>
          <a:effectLst/>
        </c:spPr>
      </c:pivotFmt>
      <c:pivotFmt>
        <c:idx val="38"/>
        <c:spPr>
          <a:solidFill>
            <a:schemeClr val="accent6"/>
          </a:solidFill>
          <a:ln w="19050">
            <a:solidFill>
              <a:schemeClr val="lt1"/>
            </a:solidFill>
          </a:ln>
          <a:effectLst/>
        </c:spPr>
      </c:pivotFmt>
      <c:pivotFmt>
        <c:idx val="39"/>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solidFill>
          <a:ln w="19050">
            <a:solidFill>
              <a:schemeClr val="lt1"/>
            </a:solidFill>
          </a:ln>
          <a:effectLst/>
        </c:spPr>
      </c:pivotFmt>
      <c:pivotFmt>
        <c:idx val="41"/>
        <c:spPr>
          <a:solidFill>
            <a:schemeClr val="accent6"/>
          </a:solidFill>
          <a:ln w="19050">
            <a:solidFill>
              <a:schemeClr val="lt1"/>
            </a:solidFill>
          </a:ln>
          <a:effectLst/>
        </c:spPr>
      </c:pivotFmt>
      <c:pivotFmt>
        <c:idx val="4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6"/>
          </a:solidFill>
          <a:ln w="19050">
            <a:solidFill>
              <a:schemeClr val="lt1"/>
            </a:solidFill>
          </a:ln>
          <a:effectLst/>
        </c:spPr>
      </c:pivotFmt>
      <c:pivotFmt>
        <c:idx val="44"/>
        <c:spPr>
          <a:solidFill>
            <a:schemeClr val="accent6"/>
          </a:solidFill>
          <a:ln w="19050">
            <a:solidFill>
              <a:schemeClr val="lt1"/>
            </a:solidFill>
          </a:ln>
          <a:effectLst/>
        </c:spPr>
      </c:pivotFmt>
      <c:pivotFmt>
        <c:idx val="4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6"/>
          </a:solidFill>
          <a:ln w="19050">
            <a:solidFill>
              <a:schemeClr val="lt1"/>
            </a:solidFill>
          </a:ln>
          <a:effectLst/>
        </c:spPr>
      </c:pivotFmt>
      <c:pivotFmt>
        <c:idx val="47"/>
        <c:spPr>
          <a:solidFill>
            <a:schemeClr val="accent6"/>
          </a:solidFill>
          <a:ln w="19050">
            <a:solidFill>
              <a:schemeClr val="lt1"/>
            </a:solidFill>
          </a:ln>
          <a:effectLst/>
        </c:spPr>
      </c:pivotFmt>
      <c:pivotFmt>
        <c:idx val="48"/>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Arial Black" panose="020B0A04020102020204" pitchFamily="34" charset="0"/>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49"/>
        <c:spPr>
          <a:solidFill>
            <a:srgbClr val="683104"/>
          </a:solidFill>
          <a:ln w="19050">
            <a:solidFill>
              <a:schemeClr val="lt1"/>
            </a:solidFill>
          </a:ln>
          <a:effectLst/>
        </c:spPr>
        <c:dLbl>
          <c:idx val="0"/>
          <c:layout>
            <c:manualLayout>
              <c:x val="-0.23481288547865686"/>
              <c:y val="-3.103047659270557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Arial Black" panose="020B0A040201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0138515105077623"/>
                  <c:h val="0.29055015858828709"/>
                </c:manualLayout>
              </c15:layout>
            </c:ext>
          </c:extLst>
        </c:dLbl>
      </c:pivotFmt>
      <c:pivotFmt>
        <c:idx val="50"/>
        <c:spPr>
          <a:solidFill>
            <a:schemeClr val="accent6"/>
          </a:solidFill>
          <a:ln w="19050">
            <a:solidFill>
              <a:schemeClr val="lt1"/>
            </a:solidFill>
          </a:ln>
          <a:effectLst/>
        </c:spPr>
        <c:dLbl>
          <c:idx val="0"/>
          <c:layout>
            <c:manualLayout>
              <c:x val="0.20043211514406545"/>
              <c:y val="2.3760180554220637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Arial Black" panose="020B0A040201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3126607571220484"/>
                  <c:h val="0.29055015858828709"/>
                </c:manualLayout>
              </c15:layout>
            </c:ext>
          </c:extLst>
        </c:dLbl>
      </c:pivotFmt>
      <c:pivotFmt>
        <c:idx val="5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6"/>
          </a:solidFill>
          <a:ln w="19050">
            <a:solidFill>
              <a:schemeClr val="lt1"/>
            </a:solidFill>
          </a:ln>
          <a:effectLst/>
        </c:spPr>
      </c:pivotFmt>
      <c:pivotFmt>
        <c:idx val="53"/>
        <c:spPr>
          <a:solidFill>
            <a:schemeClr val="accent6"/>
          </a:solidFill>
          <a:ln w="19050">
            <a:solidFill>
              <a:schemeClr val="lt1"/>
            </a:solidFill>
          </a:ln>
          <a:effectLst/>
        </c:spPr>
      </c:pivotFmt>
      <c:pivotFmt>
        <c:idx val="5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6"/>
          </a:solidFill>
          <a:ln w="19050">
            <a:solidFill>
              <a:schemeClr val="lt1"/>
            </a:solidFill>
          </a:ln>
          <a:effectLst/>
        </c:spPr>
      </c:pivotFmt>
      <c:pivotFmt>
        <c:idx val="56"/>
        <c:spPr>
          <a:solidFill>
            <a:schemeClr val="accent6"/>
          </a:solidFill>
          <a:ln w="19050">
            <a:solidFill>
              <a:schemeClr val="lt1"/>
            </a:solidFill>
          </a:ln>
          <a:effectLst/>
        </c:spPr>
      </c:pivotFmt>
      <c:pivotFmt>
        <c:idx val="57"/>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6"/>
          </a:solidFill>
          <a:ln w="19050">
            <a:solidFill>
              <a:schemeClr val="lt1"/>
            </a:solidFill>
          </a:ln>
          <a:effectLst/>
        </c:spPr>
      </c:pivotFmt>
      <c:pivotFmt>
        <c:idx val="59"/>
        <c:spPr>
          <a:solidFill>
            <a:schemeClr val="accent6"/>
          </a:solidFill>
          <a:ln w="19050">
            <a:solidFill>
              <a:schemeClr val="lt1"/>
            </a:solidFill>
          </a:ln>
          <a:effectLst/>
        </c:spPr>
      </c:pivotFmt>
      <c:pivotFmt>
        <c:idx val="6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6"/>
          </a:solidFill>
          <a:ln w="19050">
            <a:solidFill>
              <a:schemeClr val="lt1"/>
            </a:solidFill>
          </a:ln>
          <a:effectLst/>
        </c:spPr>
      </c:pivotFmt>
      <c:pivotFmt>
        <c:idx val="62"/>
        <c:spPr>
          <a:solidFill>
            <a:schemeClr val="accent6"/>
          </a:solidFill>
          <a:ln w="19050">
            <a:solidFill>
              <a:schemeClr val="lt1"/>
            </a:solidFill>
          </a:ln>
          <a:effectLst/>
        </c:spPr>
      </c:pivotFmt>
      <c:pivotFmt>
        <c:idx val="6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6"/>
          </a:solidFill>
          <a:ln w="19050">
            <a:solidFill>
              <a:schemeClr val="lt1"/>
            </a:solidFill>
          </a:ln>
          <a:effectLst/>
        </c:spPr>
      </c:pivotFmt>
      <c:pivotFmt>
        <c:idx val="65"/>
        <c:spPr>
          <a:solidFill>
            <a:schemeClr val="accent6"/>
          </a:solidFill>
          <a:ln w="19050">
            <a:solidFill>
              <a:schemeClr val="lt1"/>
            </a:solidFill>
          </a:ln>
          <a:effectLst/>
        </c:spPr>
      </c:pivotFmt>
      <c:pivotFmt>
        <c:idx val="6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6"/>
          </a:solidFill>
          <a:ln w="19050">
            <a:solidFill>
              <a:schemeClr val="lt1"/>
            </a:solidFill>
          </a:ln>
          <a:effectLst/>
        </c:spPr>
      </c:pivotFmt>
      <c:pivotFmt>
        <c:idx val="68"/>
        <c:spPr>
          <a:solidFill>
            <a:schemeClr val="accent6"/>
          </a:solidFill>
          <a:ln w="19050">
            <a:solidFill>
              <a:schemeClr val="lt1"/>
            </a:solidFill>
          </a:ln>
          <a:effectLst/>
        </c:spPr>
      </c:pivotFmt>
      <c:pivotFmt>
        <c:idx val="69"/>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6"/>
          </a:solidFill>
          <a:ln w="19050">
            <a:solidFill>
              <a:schemeClr val="lt1"/>
            </a:solidFill>
          </a:ln>
          <a:effectLst/>
        </c:spPr>
      </c:pivotFmt>
      <c:pivotFmt>
        <c:idx val="71"/>
        <c:spPr>
          <a:solidFill>
            <a:schemeClr val="accent6"/>
          </a:solidFill>
          <a:ln w="19050">
            <a:solidFill>
              <a:schemeClr val="lt1"/>
            </a:solidFill>
          </a:ln>
          <a:effectLst/>
        </c:spPr>
      </c:pivotFmt>
      <c:pivotFmt>
        <c:idx val="7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6"/>
          </a:solidFill>
          <a:ln w="19050">
            <a:solidFill>
              <a:schemeClr val="lt1"/>
            </a:solidFill>
          </a:ln>
          <a:effectLst/>
        </c:spPr>
      </c:pivotFmt>
      <c:pivotFmt>
        <c:idx val="74"/>
        <c:spPr>
          <a:solidFill>
            <a:schemeClr val="accent6"/>
          </a:solidFill>
          <a:ln w="19050">
            <a:solidFill>
              <a:schemeClr val="lt1"/>
            </a:solidFill>
          </a:ln>
          <a:effectLst/>
        </c:spPr>
      </c:pivotFmt>
      <c:pivotFmt>
        <c:idx val="7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6"/>
          </a:solidFill>
          <a:ln w="19050">
            <a:solidFill>
              <a:schemeClr val="lt1"/>
            </a:solidFill>
          </a:ln>
          <a:effectLst/>
        </c:spPr>
      </c:pivotFmt>
      <c:pivotFmt>
        <c:idx val="77"/>
        <c:spPr>
          <a:solidFill>
            <a:schemeClr val="accent6"/>
          </a:solidFill>
          <a:ln w="19050">
            <a:solidFill>
              <a:schemeClr val="lt1"/>
            </a:solidFill>
          </a:ln>
          <a:effectLst/>
        </c:spPr>
      </c:pivotFmt>
      <c:pivotFmt>
        <c:idx val="78"/>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6"/>
          </a:solidFill>
          <a:ln w="19050">
            <a:solidFill>
              <a:schemeClr val="lt1"/>
            </a:solidFill>
          </a:ln>
          <a:effectLst/>
        </c:spPr>
      </c:pivotFmt>
      <c:pivotFmt>
        <c:idx val="80"/>
        <c:spPr>
          <a:solidFill>
            <a:schemeClr val="accent6"/>
          </a:solidFill>
          <a:ln w="19050">
            <a:solidFill>
              <a:schemeClr val="lt1"/>
            </a:solidFill>
          </a:ln>
          <a:effectLst/>
        </c:spPr>
      </c:pivotFmt>
      <c:pivotFmt>
        <c:idx val="8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6"/>
          </a:solidFill>
          <a:ln w="19050">
            <a:solidFill>
              <a:schemeClr val="lt1"/>
            </a:solidFill>
          </a:ln>
          <a:effectLst/>
        </c:spPr>
      </c:pivotFmt>
      <c:pivotFmt>
        <c:idx val="83"/>
        <c:spPr>
          <a:solidFill>
            <a:schemeClr val="accent6"/>
          </a:solidFill>
          <a:ln w="19050">
            <a:solidFill>
              <a:schemeClr val="lt1"/>
            </a:solidFill>
          </a:ln>
          <a:effectLst/>
        </c:spPr>
      </c:pivotFmt>
      <c:pivotFmt>
        <c:idx val="8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5"/>
        <c:spPr>
          <a:solidFill>
            <a:srgbClr val="A54C03"/>
          </a:solidFill>
          <a:ln w="19050">
            <a:solidFill>
              <a:schemeClr val="lt1"/>
            </a:solidFill>
          </a:ln>
          <a:effectLst/>
        </c:spPr>
        <c:dLbl>
          <c:idx val="0"/>
          <c:layout>
            <c:manualLayout>
              <c:x val="0.29571187991747577"/>
              <c:y val="-1.1148184811304142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1"/>
                  </a:solidFill>
                  <a:latin typeface="Arial Black" panose="020B0A040201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0946592084386998"/>
                  <c:h val="0.32075454489967298"/>
                </c:manualLayout>
              </c15:layout>
            </c:ext>
          </c:extLst>
        </c:dLbl>
      </c:pivotFmt>
      <c:pivotFmt>
        <c:idx val="86"/>
        <c:spPr>
          <a:solidFill>
            <a:srgbClr val="381A02"/>
          </a:solidFill>
          <a:ln w="19050">
            <a:solidFill>
              <a:schemeClr val="lt1"/>
            </a:solidFill>
          </a:ln>
          <a:effectLst/>
        </c:spPr>
        <c:dLbl>
          <c:idx val="0"/>
          <c:layout>
            <c:manualLayout>
              <c:x val="-6.9376682027150763E-2"/>
              <c:y val="-2.2019252288322695E-2"/>
            </c:manualLayout>
          </c:layout>
          <c:spPr>
            <a:noFill/>
            <a:ln>
              <a:noFill/>
            </a:ln>
            <a:effectLst/>
          </c:spPr>
          <c:txPr>
            <a:bodyPr rot="0" spcFirstLastPara="1" vertOverflow="ellipsis" vert="horz" wrap="square" lIns="38100" tIns="19050" rIns="38100" bIns="19050" anchor="ctr" anchorCtr="1">
              <a:noAutofit/>
            </a:bodyPr>
            <a:lstStyle/>
            <a:p>
              <a:pPr>
                <a:defRPr sz="500" b="0" i="0" u="none" strike="noStrike" kern="1200" baseline="0">
                  <a:solidFill>
                    <a:schemeClr val="bg1"/>
                  </a:solidFill>
                  <a:latin typeface="Arial Black" panose="020B0A040201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43669079941301653"/>
                  <c:h val="0.2917975373740081"/>
                </c:manualLayout>
              </c15:layout>
            </c:ext>
          </c:extLst>
        </c:dLbl>
      </c:pivotFmt>
    </c:pivotFmts>
    <c:plotArea>
      <c:layout>
        <c:manualLayout>
          <c:layoutTarget val="inner"/>
          <c:xMode val="edge"/>
          <c:yMode val="edge"/>
          <c:x val="0.29985812760934194"/>
          <c:y val="0.15159791467452041"/>
          <c:w val="0.56533277739572108"/>
          <c:h val="0.73244356452870063"/>
        </c:manualLayout>
      </c:layout>
      <c:pieChart>
        <c:varyColors val="1"/>
        <c:ser>
          <c:idx val="0"/>
          <c:order val="0"/>
          <c:tx>
            <c:strRef>
              <c:f>Sheet8!$B$3:$B$4</c:f>
              <c:strCache>
                <c:ptCount val="1"/>
                <c:pt idx="0">
                  <c:v>Jan</c:v>
                </c:pt>
              </c:strCache>
            </c:strRef>
          </c:tx>
          <c:dPt>
            <c:idx val="0"/>
            <c:bubble3D val="0"/>
            <c:spPr>
              <a:solidFill>
                <a:srgbClr val="381A02"/>
              </a:solidFill>
              <a:ln w="19050">
                <a:solidFill>
                  <a:schemeClr val="lt1"/>
                </a:solidFill>
              </a:ln>
              <a:effectLst/>
            </c:spPr>
            <c:extLst>
              <c:ext xmlns:c16="http://schemas.microsoft.com/office/drawing/2014/chart" uri="{C3380CC4-5D6E-409C-BE32-E72D297353CC}">
                <c16:uniqueId val="{00000001-65EB-4D2F-8657-CF37844C260D}"/>
              </c:ext>
            </c:extLst>
          </c:dPt>
          <c:dPt>
            <c:idx val="1"/>
            <c:bubble3D val="0"/>
            <c:spPr>
              <a:solidFill>
                <a:srgbClr val="A54C03"/>
              </a:solidFill>
              <a:ln w="19050">
                <a:solidFill>
                  <a:schemeClr val="lt1"/>
                </a:solidFill>
              </a:ln>
              <a:effectLst/>
            </c:spPr>
            <c:extLst>
              <c:ext xmlns:c16="http://schemas.microsoft.com/office/drawing/2014/chart" uri="{C3380CC4-5D6E-409C-BE32-E72D297353CC}">
                <c16:uniqueId val="{00000003-65EB-4D2F-8657-CF37844C260D}"/>
              </c:ext>
            </c:extLst>
          </c:dPt>
          <c:dLbls>
            <c:dLbl>
              <c:idx val="0"/>
              <c:layout>
                <c:manualLayout>
                  <c:x val="-6.9376682027150763E-2"/>
                  <c:y val="-2.2019252288322695E-2"/>
                </c:manualLayout>
              </c:layout>
              <c:spPr>
                <a:noFill/>
                <a:ln>
                  <a:noFill/>
                </a:ln>
                <a:effectLst/>
              </c:spPr>
              <c:txPr>
                <a:bodyPr rot="0" spcFirstLastPara="1" vertOverflow="ellipsis" vert="horz" wrap="square" lIns="38100" tIns="19050" rIns="38100" bIns="19050" anchor="ctr" anchorCtr="1">
                  <a:noAutofit/>
                </a:bodyPr>
                <a:lstStyle/>
                <a:p>
                  <a:pPr>
                    <a:defRPr sz="500" b="0" i="0" u="none" strike="noStrike" kern="1200" baseline="0">
                      <a:solidFill>
                        <a:schemeClr val="bg1"/>
                      </a:solidFill>
                      <a:latin typeface="Arial Black" panose="020B0A040201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43669079941301653"/>
                      <c:h val="0.2917975373740081"/>
                    </c:manualLayout>
                  </c15:layout>
                </c:ext>
                <c:ext xmlns:c16="http://schemas.microsoft.com/office/drawing/2014/chart" uri="{C3380CC4-5D6E-409C-BE32-E72D297353CC}">
                  <c16:uniqueId val="{00000001-65EB-4D2F-8657-CF37844C260D}"/>
                </c:ext>
              </c:extLst>
            </c:dLbl>
            <c:dLbl>
              <c:idx val="1"/>
              <c:layout>
                <c:manualLayout>
                  <c:x val="0.29571187991747577"/>
                  <c:y val="-1.1148184811304142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1"/>
                      </a:solidFill>
                      <a:latin typeface="Arial Black" panose="020B0A040201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0946592084386998"/>
                      <c:h val="0.32075454489967298"/>
                    </c:manualLayout>
                  </c15:layout>
                </c:ext>
                <c:ext xmlns:c16="http://schemas.microsoft.com/office/drawing/2014/chart" uri="{C3380CC4-5D6E-409C-BE32-E72D297353CC}">
                  <c16:uniqueId val="{00000003-65EB-4D2F-8657-CF37844C260D}"/>
                </c:ext>
              </c:extLst>
            </c:dLbl>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Sheet8!$A$5:$A$6</c:f>
              <c:strCache>
                <c:ptCount val="2"/>
                <c:pt idx="0">
                  <c:v>Active</c:v>
                </c:pt>
                <c:pt idx="1">
                  <c:v>Inactive</c:v>
                </c:pt>
              </c:strCache>
            </c:strRef>
          </c:cat>
          <c:val>
            <c:numRef>
              <c:f>Sheet8!$B$5:$B$6</c:f>
              <c:numCache>
                <c:formatCode>General</c:formatCode>
                <c:ptCount val="2"/>
                <c:pt idx="0">
                  <c:v>49</c:v>
                </c:pt>
                <c:pt idx="1">
                  <c:v>44</c:v>
                </c:pt>
              </c:numCache>
            </c:numRef>
          </c:val>
          <c:extLst>
            <c:ext xmlns:c16="http://schemas.microsoft.com/office/drawing/2014/chart" uri="{C3380CC4-5D6E-409C-BE32-E72D297353CC}">
              <c16:uniqueId val="{00000004-65EB-4D2F-8657-CF37844C260D}"/>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[Dashboard.xlsx]Sheet9!PivotTable1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F7994B"/>
              </a:gs>
              <a:gs pos="100000">
                <a:srgbClr val="A54C03"/>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F7994B"/>
                  </a:solidFill>
                  <a:latin typeface="Aguarita Demo"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Sheet9!$B$3</c:f>
              <c:strCache>
                <c:ptCount val="1"/>
                <c:pt idx="0">
                  <c:v>Total</c:v>
                </c:pt>
              </c:strCache>
            </c:strRef>
          </c:tx>
          <c:spPr>
            <a:gradFill>
              <a:gsLst>
                <a:gs pos="0">
                  <a:srgbClr val="F7994B"/>
                </a:gs>
                <a:gs pos="100000">
                  <a:srgbClr val="A54C03"/>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F7994B"/>
                    </a:solidFill>
                    <a:latin typeface="Aguarita Demo" pitchFamily="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Sheet9!$B$4:$B$16</c:f>
              <c:numCache>
                <c:formatCode>General</c:formatCode>
                <c:ptCount val="12"/>
                <c:pt idx="0">
                  <c:v>93</c:v>
                </c:pt>
                <c:pt idx="1">
                  <c:v>76</c:v>
                </c:pt>
                <c:pt idx="2">
                  <c:v>84</c:v>
                </c:pt>
                <c:pt idx="3">
                  <c:v>80</c:v>
                </c:pt>
                <c:pt idx="4">
                  <c:v>77</c:v>
                </c:pt>
                <c:pt idx="5">
                  <c:v>75</c:v>
                </c:pt>
                <c:pt idx="6">
                  <c:v>88</c:v>
                </c:pt>
                <c:pt idx="7">
                  <c:v>90</c:v>
                </c:pt>
                <c:pt idx="8">
                  <c:v>83</c:v>
                </c:pt>
                <c:pt idx="9">
                  <c:v>74</c:v>
                </c:pt>
                <c:pt idx="10">
                  <c:v>89</c:v>
                </c:pt>
                <c:pt idx="11">
                  <c:v>70</c:v>
                </c:pt>
              </c:numCache>
            </c:numRef>
          </c:val>
          <c:extLst>
            <c:ext xmlns:c16="http://schemas.microsoft.com/office/drawing/2014/chart" uri="{C3380CC4-5D6E-409C-BE32-E72D297353CC}">
              <c16:uniqueId val="{00000000-83E9-4E3C-A7EB-BC19BC9F0A87}"/>
            </c:ext>
          </c:extLst>
        </c:ser>
        <c:dLbls>
          <c:dLblPos val="outEnd"/>
          <c:showLegendKey val="0"/>
          <c:showVal val="1"/>
          <c:showCatName val="0"/>
          <c:showSerName val="0"/>
          <c:showPercent val="0"/>
          <c:showBubbleSize val="0"/>
        </c:dLbls>
        <c:gapWidth val="219"/>
        <c:overlap val="-27"/>
        <c:axId val="1568500704"/>
        <c:axId val="1370544272"/>
      </c:barChart>
      <c:catAx>
        <c:axId val="15685007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rgbClr val="F7994B"/>
                </a:solidFill>
                <a:latin typeface="Aguarita Demo" pitchFamily="2" charset="0"/>
                <a:ea typeface="+mn-ea"/>
                <a:cs typeface="+mn-cs"/>
              </a:defRPr>
            </a:pPr>
            <a:endParaRPr lang="en-US"/>
          </a:p>
        </c:txPr>
        <c:crossAx val="1370544272"/>
        <c:crosses val="autoZero"/>
        <c:auto val="1"/>
        <c:lblAlgn val="ctr"/>
        <c:lblOffset val="100"/>
        <c:noMultiLvlLbl val="0"/>
      </c:catAx>
      <c:valAx>
        <c:axId val="1370544272"/>
        <c:scaling>
          <c:orientation val="minMax"/>
        </c:scaling>
        <c:delete val="1"/>
        <c:axPos val="l"/>
        <c:numFmt formatCode="General" sourceLinked="1"/>
        <c:majorTickMark val="out"/>
        <c:minorTickMark val="none"/>
        <c:tickLblPos val="nextTo"/>
        <c:crossAx val="1568500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[Dashboard.xlsx]Sheet5!PivotTable6</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clustered"/>
        <c:varyColors val="0"/>
        <c:ser>
          <c:idx val="0"/>
          <c:order val="0"/>
          <c:tx>
            <c:strRef>
              <c:f>Sheet5!$B$3:$B$4</c:f>
              <c:strCache>
                <c:ptCount val="1"/>
                <c:pt idx="0">
                  <c:v>Jan</c:v>
                </c:pt>
              </c:strCache>
            </c:strRef>
          </c:tx>
          <c:spPr>
            <a:solidFill>
              <a:schemeClr val="accent1"/>
            </a:solidFill>
            <a:ln>
              <a:noFill/>
            </a:ln>
            <a:effectLst/>
          </c:spPr>
          <c:invertIfNegative val="0"/>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Sheet5!$A$5:$A$11</c:f>
              <c:strCache>
                <c:ptCount val="7"/>
                <c:pt idx="0">
                  <c:v>Bengaluru</c:v>
                </c:pt>
                <c:pt idx="1">
                  <c:v>Chennai</c:v>
                </c:pt>
                <c:pt idx="2">
                  <c:v>Delhi</c:v>
                </c:pt>
                <c:pt idx="3">
                  <c:v>Hyderabad</c:v>
                </c:pt>
                <c:pt idx="4">
                  <c:v>Mumbai</c:v>
                </c:pt>
                <c:pt idx="5">
                  <c:v>Pune</c:v>
                </c:pt>
                <c:pt idx="6">
                  <c:v>Unknown</c:v>
                </c:pt>
              </c:strCache>
            </c:strRef>
          </c:cat>
          <c:val>
            <c:numRef>
              <c:f>Sheet5!$B$5:$B$11</c:f>
              <c:numCache>
                <c:formatCode>General</c:formatCode>
                <c:ptCount val="7"/>
                <c:pt idx="0">
                  <c:v>51520</c:v>
                </c:pt>
                <c:pt idx="1">
                  <c:v>548374</c:v>
                </c:pt>
                <c:pt idx="2">
                  <c:v>93735</c:v>
                </c:pt>
                <c:pt idx="3">
                  <c:v>794154</c:v>
                </c:pt>
                <c:pt idx="4">
                  <c:v>529112</c:v>
                </c:pt>
                <c:pt idx="5">
                  <c:v>100765</c:v>
                </c:pt>
                <c:pt idx="6">
                  <c:v>0</c:v>
                </c:pt>
              </c:numCache>
            </c:numRef>
          </c:val>
          <c:extLst>
            <c:ext xmlns:c16="http://schemas.microsoft.com/office/drawing/2014/chart" uri="{C3380CC4-5D6E-409C-BE32-E72D297353CC}">
              <c16:uniqueId val="{00000000-EC25-4322-86AD-2129608C48F7}"/>
            </c:ext>
          </c:extLst>
        </c:ser>
        <c:dLbls>
          <c:dLblPos val="outEnd"/>
          <c:showLegendKey val="0"/>
          <c:showVal val="1"/>
          <c:showCatName val="0"/>
          <c:showSerName val="0"/>
          <c:showPercent val="0"/>
          <c:showBubbleSize val="0"/>
        </c:dLbls>
        <c:gapWidth val="219"/>
        <c:overlap val="-27"/>
        <c:axId val="1490289279"/>
        <c:axId val="1305053295"/>
      </c:barChart>
      <c:catAx>
        <c:axId val="14902892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053295"/>
        <c:crosses val="autoZero"/>
        <c:auto val="1"/>
        <c:lblAlgn val="ctr"/>
        <c:lblOffset val="100"/>
        <c:noMultiLvlLbl val="0"/>
      </c:catAx>
      <c:valAx>
        <c:axId val="130505329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289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[Dashboard.xlsx]Sheet6!PivotTable1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Sheet6!$B$3:$B$4</c:f>
              <c:strCache>
                <c:ptCount val="1"/>
                <c:pt idx="0">
                  <c:v>Jan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6A6-49ED-9F81-4A77F0B64EB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6A6-49ED-9F81-4A77F0B64EB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6A6-49ED-9F81-4A77F0B64EB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6A6-49ED-9F81-4A77F0B64EB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6A6-49ED-9F81-4A77F0B64EBD}"/>
              </c:ext>
            </c:extLst>
          </c:dPt>
          <c:cat>
            <c:strRef>
              <c:f>Sheet6!$A$5:$A$9</c:f>
              <c:strCache>
                <c:ptCount val="5"/>
                <c:pt idx="0">
                  <c:v>Closed</c:v>
                </c:pt>
                <c:pt idx="1">
                  <c:v>Default</c:v>
                </c:pt>
                <c:pt idx="2">
                  <c:v>Disbursed</c:v>
                </c:pt>
                <c:pt idx="3">
                  <c:v>N/A</c:v>
                </c:pt>
                <c:pt idx="4">
                  <c:v>Pending</c:v>
                </c:pt>
              </c:strCache>
            </c:strRef>
          </c:cat>
          <c:val>
            <c:numRef>
              <c:f>Sheet6!$B$5:$B$9</c:f>
              <c:numCache>
                <c:formatCode>General</c:formatCode>
                <c:ptCount val="5"/>
                <c:pt idx="0">
                  <c:v>7</c:v>
                </c:pt>
                <c:pt idx="1">
                  <c:v>4</c:v>
                </c:pt>
                <c:pt idx="2">
                  <c:v>18</c:v>
                </c:pt>
                <c:pt idx="3">
                  <c:v>56</c:v>
                </c:pt>
                <c:pt idx="4">
                  <c:v>8</c:v>
                </c:pt>
              </c:numCache>
            </c:numRef>
          </c:val>
          <c:extLst>
            <c:ext xmlns:c16="http://schemas.microsoft.com/office/drawing/2014/chart" uri="{C3380CC4-5D6E-409C-BE32-E72D297353CC}">
              <c16:uniqueId val="{00000000-EAFF-4ACA-9A31-4C904DDBF450}"/>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[Dashboard.xlsx]Sheet7!PivotTable1</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Sheet7!$B$3</c:f>
              <c:strCache>
                <c:ptCount val="1"/>
                <c:pt idx="0">
                  <c:v>Total</c:v>
                </c:pt>
              </c:strCache>
            </c:strRef>
          </c:tx>
          <c:spPr>
            <a:solidFill>
              <a:schemeClr val="accent1"/>
            </a:solidFill>
            <a:ln>
              <a:noFill/>
            </a:ln>
            <a:effectLst/>
          </c:spPr>
          <c:cat>
            <c:strRef>
              <c:f>Sheet7!$A$4</c:f>
              <c:strCache>
                <c:ptCount val="1"/>
                <c:pt idx="0">
                  <c:v>Jan</c:v>
                </c:pt>
              </c:strCache>
            </c:strRef>
          </c:cat>
          <c:val>
            <c:numRef>
              <c:f>Sheet7!$B$4</c:f>
              <c:numCache>
                <c:formatCode>General</c:formatCode>
                <c:ptCount val="1"/>
                <c:pt idx="0">
                  <c:v>93</c:v>
                </c:pt>
              </c:numCache>
            </c:numRef>
          </c:val>
          <c:extLst>
            <c:ext xmlns:c16="http://schemas.microsoft.com/office/drawing/2014/chart" uri="{C3380CC4-5D6E-409C-BE32-E72D297353CC}">
              <c16:uniqueId val="{00000000-17D2-49D1-8B29-184C8D993B37}"/>
            </c:ext>
          </c:extLst>
        </c:ser>
        <c:dLbls>
          <c:showLegendKey val="0"/>
          <c:showVal val="0"/>
          <c:showCatName val="0"/>
          <c:showSerName val="0"/>
          <c:showPercent val="0"/>
          <c:showBubbleSize val="0"/>
        </c:dLbls>
        <c:axId val="283683552"/>
        <c:axId val="273000720"/>
      </c:areaChart>
      <c:catAx>
        <c:axId val="2836835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000720"/>
        <c:crosses val="autoZero"/>
        <c:auto val="1"/>
        <c:lblAlgn val="ctr"/>
        <c:lblOffset val="100"/>
        <c:noMultiLvlLbl val="0"/>
      </c:catAx>
      <c:valAx>
        <c:axId val="273000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6835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[Dashboard.xlsx]Sheet8!PivotTable2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Sheet8!$B$3:$B$4</c:f>
              <c:strCache>
                <c:ptCount val="1"/>
                <c:pt idx="0">
                  <c:v>Jan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579-4E69-80AF-D4263719B9A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579-4E69-80AF-D4263719B9A3}"/>
              </c:ext>
            </c:extLst>
          </c:dPt>
          <c:cat>
            <c:strRef>
              <c:f>Sheet8!$A$5:$A$6</c:f>
              <c:strCache>
                <c:ptCount val="2"/>
                <c:pt idx="0">
                  <c:v>Active</c:v>
                </c:pt>
                <c:pt idx="1">
                  <c:v>Inactive</c:v>
                </c:pt>
              </c:strCache>
            </c:strRef>
          </c:cat>
          <c:val>
            <c:numRef>
              <c:f>Sheet8!$B$5:$B$6</c:f>
              <c:numCache>
                <c:formatCode>General</c:formatCode>
                <c:ptCount val="2"/>
                <c:pt idx="0">
                  <c:v>49</c:v>
                </c:pt>
                <c:pt idx="1">
                  <c:v>44</c:v>
                </c:pt>
              </c:numCache>
            </c:numRef>
          </c:val>
          <c:extLst>
            <c:ext xmlns:c16="http://schemas.microsoft.com/office/drawing/2014/chart" uri="{C3380CC4-5D6E-409C-BE32-E72D297353CC}">
              <c16:uniqueId val="{00000000-FF0D-46E9-8029-57DB94856B9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[Dashboard.xlsx]Sheet9!PivotTable1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Sheet9!$B$4:$B$16</c:f>
              <c:numCache>
                <c:formatCode>General</c:formatCode>
                <c:ptCount val="12"/>
                <c:pt idx="0">
                  <c:v>93</c:v>
                </c:pt>
                <c:pt idx="1">
                  <c:v>76</c:v>
                </c:pt>
                <c:pt idx="2">
                  <c:v>84</c:v>
                </c:pt>
                <c:pt idx="3">
                  <c:v>80</c:v>
                </c:pt>
                <c:pt idx="4">
                  <c:v>77</c:v>
                </c:pt>
                <c:pt idx="5">
                  <c:v>75</c:v>
                </c:pt>
                <c:pt idx="6">
                  <c:v>88</c:v>
                </c:pt>
                <c:pt idx="7">
                  <c:v>90</c:v>
                </c:pt>
                <c:pt idx="8">
                  <c:v>83</c:v>
                </c:pt>
                <c:pt idx="9">
                  <c:v>74</c:v>
                </c:pt>
                <c:pt idx="10">
                  <c:v>89</c:v>
                </c:pt>
                <c:pt idx="11">
                  <c:v>70</c:v>
                </c:pt>
              </c:numCache>
            </c:numRef>
          </c:val>
          <c:extLst>
            <c:ext xmlns:c16="http://schemas.microsoft.com/office/drawing/2014/chart" uri="{C3380CC4-5D6E-409C-BE32-E72D297353CC}">
              <c16:uniqueId val="{00000000-D25B-4469-86BB-4F4FB86483BD}"/>
            </c:ext>
          </c:extLst>
        </c:ser>
        <c:dLbls>
          <c:dLblPos val="outEnd"/>
          <c:showLegendKey val="0"/>
          <c:showVal val="1"/>
          <c:showCatName val="0"/>
          <c:showSerName val="0"/>
          <c:showPercent val="0"/>
          <c:showBubbleSize val="0"/>
        </c:dLbls>
        <c:gapWidth val="219"/>
        <c:overlap val="-27"/>
        <c:axId val="1568500704"/>
        <c:axId val="1370544272"/>
      </c:barChart>
      <c:catAx>
        <c:axId val="15685007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544272"/>
        <c:crosses val="autoZero"/>
        <c:auto val="1"/>
        <c:lblAlgn val="ctr"/>
        <c:lblOffset val="100"/>
        <c:noMultiLvlLbl val="0"/>
      </c:catAx>
      <c:valAx>
        <c:axId val="137054427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500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6">
  <a:schemeClr val="accent6"/>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12" Type="http://schemas.openxmlformats.org/officeDocument/2006/relationships/chart" Target="../charts/chart1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8.xml"/><Relationship Id="rId11" Type="http://schemas.openxmlformats.org/officeDocument/2006/relationships/chart" Target="../charts/chart11.xml"/><Relationship Id="rId5" Type="http://schemas.openxmlformats.org/officeDocument/2006/relationships/chart" Target="../charts/chart7.xml"/><Relationship Id="rId10" Type="http://schemas.openxmlformats.org/officeDocument/2006/relationships/image" Target="../media/image4.svg"/><Relationship Id="rId4" Type="http://schemas.openxmlformats.org/officeDocument/2006/relationships/chart" Target="../charts/chart6.xml"/><Relationship Id="rId9"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2</xdr:col>
      <xdr:colOff>1074420</xdr:colOff>
      <xdr:row>3</xdr:row>
      <xdr:rowOff>133350</xdr:rowOff>
    </xdr:from>
    <xdr:to>
      <xdr:col>11</xdr:col>
      <xdr:colOff>480060</xdr:colOff>
      <xdr:row>18</xdr:row>
      <xdr:rowOff>133350</xdr:rowOff>
    </xdr:to>
    <xdr:graphicFrame macro="">
      <xdr:nvGraphicFramePr>
        <xdr:cNvPr id="12" name="Chart 11">
          <a:extLst>
            <a:ext uri="{FF2B5EF4-FFF2-40B4-BE49-F238E27FC236}">
              <a16:creationId xmlns:a16="http://schemas.microsoft.com/office/drawing/2014/main" id="{310DA5DC-3081-37B8-398B-F4B6A93481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274320</xdr:colOff>
      <xdr:row>13</xdr:row>
      <xdr:rowOff>87630</xdr:rowOff>
    </xdr:from>
    <xdr:to>
      <xdr:col>10</xdr:col>
      <xdr:colOff>579120</xdr:colOff>
      <xdr:row>28</xdr:row>
      <xdr:rowOff>87630</xdr:rowOff>
    </xdr:to>
    <xdr:graphicFrame macro="">
      <xdr:nvGraphicFramePr>
        <xdr:cNvPr id="2" name="Chart 1">
          <a:extLst>
            <a:ext uri="{FF2B5EF4-FFF2-40B4-BE49-F238E27FC236}">
              <a16:creationId xmlns:a16="http://schemas.microsoft.com/office/drawing/2014/main" id="{C4F1F597-C72D-00F1-7D75-5B37EC7EBC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495300</xdr:colOff>
      <xdr:row>10</xdr:row>
      <xdr:rowOff>7620</xdr:rowOff>
    </xdr:from>
    <xdr:to>
      <xdr:col>14</xdr:col>
      <xdr:colOff>495300</xdr:colOff>
      <xdr:row>23</xdr:row>
      <xdr:rowOff>97155</xdr:rowOff>
    </xdr:to>
    <mc:AlternateContent xmlns:mc="http://schemas.openxmlformats.org/markup-compatibility/2006" xmlns:a14="http://schemas.microsoft.com/office/drawing/2010/main">
      <mc:Choice Requires="a14">
        <xdr:graphicFrame macro="">
          <xdr:nvGraphicFramePr>
            <xdr:cNvPr id="3" name="Month 3">
              <a:extLst>
                <a:ext uri="{FF2B5EF4-FFF2-40B4-BE49-F238E27FC236}">
                  <a16:creationId xmlns:a16="http://schemas.microsoft.com/office/drawing/2014/main" id="{A5645323-1653-1B20-E254-5E1573D82B68}"/>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8351520" y="18364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358140</xdr:colOff>
      <xdr:row>4</xdr:row>
      <xdr:rowOff>34290</xdr:rowOff>
    </xdr:from>
    <xdr:to>
      <xdr:col>11</xdr:col>
      <xdr:colOff>53340</xdr:colOff>
      <xdr:row>19</xdr:row>
      <xdr:rowOff>34290</xdr:rowOff>
    </xdr:to>
    <xdr:graphicFrame macro="">
      <xdr:nvGraphicFramePr>
        <xdr:cNvPr id="5" name="Chart 4">
          <a:extLst>
            <a:ext uri="{FF2B5EF4-FFF2-40B4-BE49-F238E27FC236}">
              <a16:creationId xmlns:a16="http://schemas.microsoft.com/office/drawing/2014/main" id="{FBAE423E-71DE-F80F-6BC9-E24CDF1BEB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129540</xdr:colOff>
      <xdr:row>3</xdr:row>
      <xdr:rowOff>83820</xdr:rowOff>
    </xdr:from>
    <xdr:to>
      <xdr:col>15</xdr:col>
      <xdr:colOff>129540</xdr:colOff>
      <xdr:row>16</xdr:row>
      <xdr:rowOff>173355</xdr:rowOff>
    </xdr:to>
    <mc:AlternateContent xmlns:mc="http://schemas.openxmlformats.org/markup-compatibility/2006" xmlns:a14="http://schemas.microsoft.com/office/drawing/2010/main">
      <mc:Choice Requires="a14">
        <xdr:graphicFrame macro="">
          <xdr:nvGraphicFramePr>
            <xdr:cNvPr id="6" name="Month 2">
              <a:extLst>
                <a:ext uri="{FF2B5EF4-FFF2-40B4-BE49-F238E27FC236}">
                  <a16:creationId xmlns:a16="http://schemas.microsoft.com/office/drawing/2014/main" id="{CD37BD66-6338-913D-8973-1B07EFF4FDDB}"/>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8991600" y="6324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266700</xdr:colOff>
      <xdr:row>2</xdr:row>
      <xdr:rowOff>83820</xdr:rowOff>
    </xdr:from>
    <xdr:to>
      <xdr:col>17</xdr:col>
      <xdr:colOff>289560</xdr:colOff>
      <xdr:row>15</xdr:row>
      <xdr:rowOff>173355</xdr:rowOff>
    </xdr:to>
    <mc:AlternateContent xmlns:mc="http://schemas.openxmlformats.org/markup-compatibility/2006" xmlns:a14="http://schemas.microsoft.com/office/drawing/2010/main">
      <mc:Choice Requires="a14">
        <xdr:graphicFrame macro="">
          <xdr:nvGraphicFramePr>
            <xdr:cNvPr id="2" name="Month">
              <a:extLst>
                <a:ext uri="{FF2B5EF4-FFF2-40B4-BE49-F238E27FC236}">
                  <a16:creationId xmlns:a16="http://schemas.microsoft.com/office/drawing/2014/main" id="{38A6776D-2DE1-6E7E-0C4A-E83B01B663F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326880" y="4495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365760</xdr:colOff>
      <xdr:row>4</xdr:row>
      <xdr:rowOff>64770</xdr:rowOff>
    </xdr:from>
    <xdr:to>
      <xdr:col>10</xdr:col>
      <xdr:colOff>320040</xdr:colOff>
      <xdr:row>19</xdr:row>
      <xdr:rowOff>64770</xdr:rowOff>
    </xdr:to>
    <xdr:graphicFrame macro="">
      <xdr:nvGraphicFramePr>
        <xdr:cNvPr id="5" name="Chart 4">
          <a:extLst>
            <a:ext uri="{FF2B5EF4-FFF2-40B4-BE49-F238E27FC236}">
              <a16:creationId xmlns:a16="http://schemas.microsoft.com/office/drawing/2014/main" id="{44A5A909-95EC-B9E9-50CF-D039D40815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44048</xdr:colOff>
      <xdr:row>0</xdr:row>
      <xdr:rowOff>32646</xdr:rowOff>
    </xdr:from>
    <xdr:to>
      <xdr:col>4</xdr:col>
      <xdr:colOff>252761</xdr:colOff>
      <xdr:row>3</xdr:row>
      <xdr:rowOff>70746</xdr:rowOff>
    </xdr:to>
    <xdr:grpSp>
      <xdr:nvGrpSpPr>
        <xdr:cNvPr id="21" name="Group 20">
          <a:extLst>
            <a:ext uri="{FF2B5EF4-FFF2-40B4-BE49-F238E27FC236}">
              <a16:creationId xmlns:a16="http://schemas.microsoft.com/office/drawing/2014/main" id="{E0897758-D6AB-8F49-B51A-D0F063BA93AF}"/>
            </a:ext>
          </a:extLst>
        </xdr:cNvPr>
        <xdr:cNvGrpSpPr/>
      </xdr:nvGrpSpPr>
      <xdr:grpSpPr>
        <a:xfrm>
          <a:off x="44048" y="32646"/>
          <a:ext cx="2647113" cy="589429"/>
          <a:chOff x="129540" y="103271"/>
          <a:chExt cx="2647113" cy="584510"/>
        </a:xfrm>
      </xdr:grpSpPr>
      <xdr:sp macro="" textlink="">
        <xdr:nvSpPr>
          <xdr:cNvPr id="2" name="Rectangle: Rounded Corners 1">
            <a:extLst>
              <a:ext uri="{FF2B5EF4-FFF2-40B4-BE49-F238E27FC236}">
                <a16:creationId xmlns:a16="http://schemas.microsoft.com/office/drawing/2014/main" id="{2960589A-06DE-A2E3-5867-5E188CDA5707}"/>
              </a:ext>
            </a:extLst>
          </xdr:cNvPr>
          <xdr:cNvSpPr/>
        </xdr:nvSpPr>
        <xdr:spPr>
          <a:xfrm>
            <a:off x="129540" y="121920"/>
            <a:ext cx="2647113" cy="394753"/>
          </a:xfrm>
          <a:prstGeom prst="roundRect">
            <a:avLst/>
          </a:prstGeom>
          <a:gradFill flip="none" rotWithShape="1">
            <a:gsLst>
              <a:gs pos="0">
                <a:srgbClr val="F57E1B"/>
              </a:gs>
              <a:gs pos="67000">
                <a:srgbClr val="A54C03"/>
              </a:gs>
            </a:gsLst>
            <a:lin ang="18900000" scaled="1"/>
            <a:tileRect/>
          </a:gradFill>
          <a:ln>
            <a:noFill/>
          </a:ln>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TextBox 2">
            <a:extLst>
              <a:ext uri="{FF2B5EF4-FFF2-40B4-BE49-F238E27FC236}">
                <a16:creationId xmlns:a16="http://schemas.microsoft.com/office/drawing/2014/main" id="{3CEBFF9D-2216-9A5E-5344-74E9B10DD7AF}"/>
              </a:ext>
            </a:extLst>
          </xdr:cNvPr>
          <xdr:cNvSpPr txBox="1"/>
        </xdr:nvSpPr>
        <xdr:spPr>
          <a:xfrm>
            <a:off x="133814" y="103271"/>
            <a:ext cx="2241550" cy="584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a:ln>
                  <a:noFill/>
                </a:ln>
                <a:solidFill>
                  <a:schemeClr val="bg1"/>
                </a:solidFill>
                <a:latin typeface="Bodoni MT" panose="02070603080606020203" pitchFamily="18" charset="0"/>
              </a:rPr>
              <a:t>JPM</a:t>
            </a:r>
            <a:r>
              <a:rPr lang="en-US" sz="1050" b="0">
                <a:ln>
                  <a:noFill/>
                </a:ln>
                <a:solidFill>
                  <a:schemeClr val="bg1"/>
                </a:solidFill>
                <a:latin typeface="Bodoni MT" panose="02070603080606020203" pitchFamily="18" charset="0"/>
              </a:rPr>
              <a:t>ORGAN</a:t>
            </a:r>
            <a:r>
              <a:rPr lang="en-US" sz="1400" b="0">
                <a:ln>
                  <a:noFill/>
                </a:ln>
                <a:solidFill>
                  <a:schemeClr val="bg1"/>
                </a:solidFill>
                <a:latin typeface="Bodoni MT" panose="02070603080606020203" pitchFamily="18" charset="0"/>
              </a:rPr>
              <a:t> </a:t>
            </a:r>
            <a:r>
              <a:rPr lang="en-US" sz="1600" b="0">
                <a:ln>
                  <a:noFill/>
                </a:ln>
                <a:solidFill>
                  <a:schemeClr val="bg1"/>
                </a:solidFill>
                <a:latin typeface="Bodoni MT" panose="02070603080606020203" pitchFamily="18" charset="0"/>
              </a:rPr>
              <a:t>C</a:t>
            </a:r>
            <a:r>
              <a:rPr lang="en-US" sz="1050" b="0">
                <a:ln>
                  <a:noFill/>
                </a:ln>
                <a:solidFill>
                  <a:schemeClr val="bg1"/>
                </a:solidFill>
                <a:latin typeface="Bodoni MT" panose="02070603080606020203" pitchFamily="18" charset="0"/>
              </a:rPr>
              <a:t>HASE </a:t>
            </a:r>
            <a:r>
              <a:rPr lang="en-US" sz="1050" b="0" baseline="0">
                <a:ln>
                  <a:noFill/>
                </a:ln>
                <a:solidFill>
                  <a:schemeClr val="bg1"/>
                </a:solidFill>
                <a:latin typeface="Bodoni MT" panose="02070603080606020203" pitchFamily="18" charset="0"/>
              </a:rPr>
              <a:t> </a:t>
            </a:r>
            <a:r>
              <a:rPr lang="en-US" sz="1600" b="0" baseline="0">
                <a:ln>
                  <a:noFill/>
                </a:ln>
                <a:solidFill>
                  <a:schemeClr val="bg1"/>
                </a:solidFill>
                <a:latin typeface="Bodoni MT" panose="02070603080606020203" pitchFamily="18" charset="0"/>
              </a:rPr>
              <a:t>&amp;</a:t>
            </a:r>
            <a:r>
              <a:rPr lang="en-US" sz="1400" b="0" baseline="0">
                <a:ln>
                  <a:noFill/>
                </a:ln>
                <a:solidFill>
                  <a:schemeClr val="bg1"/>
                </a:solidFill>
                <a:latin typeface="Bodoni MT" panose="02070603080606020203" pitchFamily="18" charset="0"/>
              </a:rPr>
              <a:t>  </a:t>
            </a:r>
            <a:r>
              <a:rPr lang="en-US" sz="1600" b="0" baseline="0">
                <a:ln>
                  <a:noFill/>
                </a:ln>
                <a:solidFill>
                  <a:schemeClr val="bg1"/>
                </a:solidFill>
                <a:latin typeface="Bodoni MT" panose="02070603080606020203" pitchFamily="18" charset="0"/>
              </a:rPr>
              <a:t>C</a:t>
            </a:r>
            <a:r>
              <a:rPr lang="en-US" sz="2000" b="0" baseline="0">
                <a:ln>
                  <a:noFill/>
                </a:ln>
                <a:solidFill>
                  <a:schemeClr val="bg1"/>
                </a:solidFill>
                <a:latin typeface="Bodoni MT" panose="02070603080606020203" pitchFamily="18" charset="0"/>
              </a:rPr>
              <a:t>o.</a:t>
            </a:r>
            <a:endParaRPr lang="en-US" sz="1200">
              <a:ln>
                <a:noFill/>
              </a:ln>
              <a:solidFill>
                <a:schemeClr val="bg1"/>
              </a:solidFill>
              <a:latin typeface="Bodoni MT" panose="02070603080606020203" pitchFamily="18" charset="0"/>
            </a:endParaRPr>
          </a:p>
        </xdr:txBody>
      </xdr:sp>
      <xdr:pic>
        <xdr:nvPicPr>
          <xdr:cNvPr id="6" name="Graphic 5" descr="Bank with solid fill">
            <a:extLst>
              <a:ext uri="{FF2B5EF4-FFF2-40B4-BE49-F238E27FC236}">
                <a16:creationId xmlns:a16="http://schemas.microsoft.com/office/drawing/2014/main" id="{CC82B0B6-FEA8-9468-93D8-88D0A65729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82352" y="151815"/>
            <a:ext cx="312819" cy="308124"/>
          </a:xfrm>
          <a:prstGeom prst="rect">
            <a:avLst/>
          </a:prstGeom>
        </xdr:spPr>
      </xdr:pic>
    </xdr:grpSp>
    <xdr:clientData/>
  </xdr:twoCellAnchor>
  <xdr:twoCellAnchor>
    <xdr:from>
      <xdr:col>1</xdr:col>
      <xdr:colOff>268941</xdr:colOff>
      <xdr:row>14</xdr:row>
      <xdr:rowOff>121023</xdr:rowOff>
    </xdr:from>
    <xdr:to>
      <xdr:col>4</xdr:col>
      <xdr:colOff>470648</xdr:colOff>
      <xdr:row>21</xdr:row>
      <xdr:rowOff>4482</xdr:rowOff>
    </xdr:to>
    <xdr:grpSp>
      <xdr:nvGrpSpPr>
        <xdr:cNvPr id="38" name="Group 37">
          <a:extLst>
            <a:ext uri="{FF2B5EF4-FFF2-40B4-BE49-F238E27FC236}">
              <a16:creationId xmlns:a16="http://schemas.microsoft.com/office/drawing/2014/main" id="{5D6491CC-67B7-A1E1-B95A-7FFFC28055B0}"/>
            </a:ext>
          </a:extLst>
        </xdr:cNvPr>
        <xdr:cNvGrpSpPr/>
      </xdr:nvGrpSpPr>
      <xdr:grpSpPr>
        <a:xfrm>
          <a:off x="878541" y="2693894"/>
          <a:ext cx="2030507" cy="1169894"/>
          <a:chOff x="0" y="475557"/>
          <a:chExt cx="1004324" cy="969443"/>
        </a:xfrm>
      </xdr:grpSpPr>
      <xdr:grpSp>
        <xdr:nvGrpSpPr>
          <xdr:cNvPr id="22" name="Group 21">
            <a:extLst>
              <a:ext uri="{FF2B5EF4-FFF2-40B4-BE49-F238E27FC236}">
                <a16:creationId xmlns:a16="http://schemas.microsoft.com/office/drawing/2014/main" id="{D8C553E2-14E5-8903-D9DA-22DD6EDE35DD}"/>
              </a:ext>
            </a:extLst>
          </xdr:cNvPr>
          <xdr:cNvGrpSpPr/>
        </xdr:nvGrpSpPr>
        <xdr:grpSpPr>
          <a:xfrm>
            <a:off x="0" y="475557"/>
            <a:ext cx="1004324" cy="969443"/>
            <a:chOff x="90580" y="616806"/>
            <a:chExt cx="1004324" cy="969443"/>
          </a:xfrm>
        </xdr:grpSpPr>
        <xdr:sp macro="" textlink="">
          <xdr:nvSpPr>
            <xdr:cNvPr id="10" name="Rectangle: Rounded Corners 9">
              <a:extLst>
                <a:ext uri="{FF2B5EF4-FFF2-40B4-BE49-F238E27FC236}">
                  <a16:creationId xmlns:a16="http://schemas.microsoft.com/office/drawing/2014/main" id="{9A2673BE-84A5-4AB3-9B87-53983B94BCA4}"/>
                </a:ext>
              </a:extLst>
            </xdr:cNvPr>
            <xdr:cNvSpPr/>
          </xdr:nvSpPr>
          <xdr:spPr>
            <a:xfrm>
              <a:off x="137067" y="616806"/>
              <a:ext cx="857250" cy="910683"/>
            </a:xfrm>
            <a:prstGeom prst="roundRect">
              <a:avLst/>
            </a:prstGeom>
            <a:gradFill flip="none" rotWithShape="1">
              <a:gsLst>
                <a:gs pos="0">
                  <a:srgbClr val="F57E1B"/>
                </a:gs>
                <a:gs pos="84000">
                  <a:srgbClr val="A54C03"/>
                </a:gs>
              </a:gsLst>
              <a:lin ang="18000000" scaled="0"/>
              <a:tileRect/>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TextBox 10">
              <a:extLst>
                <a:ext uri="{FF2B5EF4-FFF2-40B4-BE49-F238E27FC236}">
                  <a16:creationId xmlns:a16="http://schemas.microsoft.com/office/drawing/2014/main" id="{352B663F-AFA9-4AAF-807F-ED9FBA7B2DD4}"/>
                </a:ext>
              </a:extLst>
            </xdr:cNvPr>
            <xdr:cNvSpPr txBox="1"/>
          </xdr:nvSpPr>
          <xdr:spPr>
            <a:xfrm>
              <a:off x="132492" y="624321"/>
              <a:ext cx="626311" cy="729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900" cap="all">
                  <a:ln>
                    <a:noFill/>
                  </a:ln>
                  <a:solidFill>
                    <a:schemeClr val="bg1"/>
                  </a:solidFill>
                  <a:latin typeface="Bodoni MT" panose="02070603080606020203" pitchFamily="18" charset="0"/>
                </a:rPr>
                <a:t>T</a:t>
              </a:r>
              <a:r>
                <a:rPr lang="en-US" sz="600" cap="all">
                  <a:ln>
                    <a:noFill/>
                  </a:ln>
                  <a:solidFill>
                    <a:schemeClr val="bg1"/>
                  </a:solidFill>
                  <a:latin typeface="Bodoni MT" panose="02070603080606020203" pitchFamily="18" charset="0"/>
                </a:rPr>
                <a:t>otal</a:t>
              </a:r>
              <a:r>
                <a:rPr lang="en-US" sz="900" cap="all" baseline="0">
                  <a:ln>
                    <a:noFill/>
                  </a:ln>
                  <a:solidFill>
                    <a:schemeClr val="bg1"/>
                  </a:solidFill>
                  <a:latin typeface="Bodoni MT" panose="02070603080606020203" pitchFamily="18" charset="0"/>
                </a:rPr>
                <a:t> D</a:t>
              </a:r>
              <a:r>
                <a:rPr lang="en-US" sz="600" cap="all" baseline="0">
                  <a:ln>
                    <a:noFill/>
                  </a:ln>
                  <a:solidFill>
                    <a:schemeClr val="bg1"/>
                  </a:solidFill>
                  <a:latin typeface="Bodoni MT" panose="02070603080606020203" pitchFamily="18" charset="0"/>
                </a:rPr>
                <a:t>eposits</a:t>
              </a:r>
              <a:endParaRPr lang="en-US" sz="900" cap="all">
                <a:ln>
                  <a:noFill/>
                </a:ln>
                <a:solidFill>
                  <a:schemeClr val="bg1"/>
                </a:solidFill>
                <a:latin typeface="Bodoni MT" panose="02070603080606020203" pitchFamily="18" charset="0"/>
              </a:endParaRPr>
            </a:p>
          </xdr:txBody>
        </xdr:sp>
        <xdr:sp macro="" textlink="#REF!">
          <xdr:nvSpPr>
            <xdr:cNvPr id="9" name="TextBox 8">
              <a:extLst>
                <a:ext uri="{FF2B5EF4-FFF2-40B4-BE49-F238E27FC236}">
                  <a16:creationId xmlns:a16="http://schemas.microsoft.com/office/drawing/2014/main" id="{AE782A3C-01E5-4B4A-AC98-621E19BFEFC2}"/>
                </a:ext>
              </a:extLst>
            </xdr:cNvPr>
            <xdr:cNvSpPr txBox="1"/>
          </xdr:nvSpPr>
          <xdr:spPr>
            <a:xfrm>
              <a:off x="90580" y="1133709"/>
              <a:ext cx="906378" cy="298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F3FD3F5-7E24-48CB-B06E-142A6EB829BA}" type="TxLink">
                <a:rPr lang="en-US" sz="1100" b="0" i="0" u="none" strike="noStrike">
                  <a:solidFill>
                    <a:srgbClr val="000000"/>
                  </a:solidFill>
                  <a:latin typeface="Calibri"/>
                  <a:ea typeface="Calibri"/>
                  <a:cs typeface="Calibri"/>
                </a:rPr>
                <a:pPr/>
                <a:t> </a:t>
              </a:fld>
              <a:endParaRPr lang="en-US" sz="1200">
                <a:solidFill>
                  <a:schemeClr val="bg1"/>
                </a:solidFill>
                <a:latin typeface="Bodoni MT Condensed" panose="02070606080606020203" pitchFamily="18" charset="0"/>
              </a:endParaRPr>
            </a:p>
          </xdr:txBody>
        </xdr:sp>
        <xdr:sp macro="" textlink="Sheet1!B4">
          <xdr:nvSpPr>
            <xdr:cNvPr id="16" name="TextBox 15">
              <a:extLst>
                <a:ext uri="{FF2B5EF4-FFF2-40B4-BE49-F238E27FC236}">
                  <a16:creationId xmlns:a16="http://schemas.microsoft.com/office/drawing/2014/main" id="{646B44A8-FA0E-BC3A-5B76-652D3E8CEA0D}"/>
                </a:ext>
              </a:extLst>
            </xdr:cNvPr>
            <xdr:cNvSpPr txBox="1"/>
          </xdr:nvSpPr>
          <xdr:spPr>
            <a:xfrm>
              <a:off x="135898" y="1314901"/>
              <a:ext cx="959006" cy="271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7577703-1A21-4296-AC2D-1C36A8A36947}" type="TxLink">
                <a:rPr lang="en-US" sz="800" b="0" i="0" u="none" strike="noStrike">
                  <a:solidFill>
                    <a:schemeClr val="bg1"/>
                  </a:solidFill>
                  <a:latin typeface="Britannic Bold" panose="020B0903060703020204" pitchFamily="34" charset="0"/>
                  <a:ea typeface="Calibri"/>
                  <a:cs typeface="Calibri"/>
                </a:rPr>
                <a:pPr/>
                <a:t> $21,17,660.00 </a:t>
              </a:fld>
              <a:endParaRPr lang="en-US" sz="800">
                <a:solidFill>
                  <a:schemeClr val="bg1"/>
                </a:solidFill>
                <a:latin typeface="Britannic Bold" panose="020B0903060703020204" pitchFamily="34" charset="0"/>
              </a:endParaRPr>
            </a:p>
          </xdr:txBody>
        </xdr:sp>
      </xdr:grpSp>
      <xdr:graphicFrame macro="">
        <xdr:nvGraphicFramePr>
          <xdr:cNvPr id="32" name="Chart 31">
            <a:extLst>
              <a:ext uri="{FF2B5EF4-FFF2-40B4-BE49-F238E27FC236}">
                <a16:creationId xmlns:a16="http://schemas.microsoft.com/office/drawing/2014/main" id="{1ABBA8DC-895A-4011-8618-4BB772679832}"/>
              </a:ext>
            </a:extLst>
          </xdr:cNvPr>
          <xdr:cNvGraphicFramePr>
            <a:graphicFrameLocks/>
          </xdr:cNvGraphicFramePr>
        </xdr:nvGraphicFramePr>
        <xdr:xfrm>
          <a:off x="66906" y="743415"/>
          <a:ext cx="825191" cy="665544"/>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xdr:col>
      <xdr:colOff>331694</xdr:colOff>
      <xdr:row>8</xdr:row>
      <xdr:rowOff>138415</xdr:rowOff>
    </xdr:from>
    <xdr:to>
      <xdr:col>5</xdr:col>
      <xdr:colOff>197224</xdr:colOff>
      <xdr:row>14</xdr:row>
      <xdr:rowOff>71717</xdr:rowOff>
    </xdr:to>
    <xdr:grpSp>
      <xdr:nvGrpSpPr>
        <xdr:cNvPr id="37" name="Group 36">
          <a:extLst>
            <a:ext uri="{FF2B5EF4-FFF2-40B4-BE49-F238E27FC236}">
              <a16:creationId xmlns:a16="http://schemas.microsoft.com/office/drawing/2014/main" id="{EE4F54D0-12AF-7CA8-A1F0-1CEB462ADDAA}"/>
            </a:ext>
          </a:extLst>
        </xdr:cNvPr>
        <xdr:cNvGrpSpPr/>
      </xdr:nvGrpSpPr>
      <xdr:grpSpPr>
        <a:xfrm>
          <a:off x="941294" y="1608627"/>
          <a:ext cx="2303930" cy="1035961"/>
          <a:chOff x="922565" y="480277"/>
          <a:chExt cx="1138760" cy="959891"/>
        </a:xfrm>
      </xdr:grpSpPr>
      <xdr:grpSp>
        <xdr:nvGrpSpPr>
          <xdr:cNvPr id="23" name="Group 22">
            <a:extLst>
              <a:ext uri="{FF2B5EF4-FFF2-40B4-BE49-F238E27FC236}">
                <a16:creationId xmlns:a16="http://schemas.microsoft.com/office/drawing/2014/main" id="{E0FD8E0A-F86D-1B1B-28B0-26CD6AE10849}"/>
              </a:ext>
            </a:extLst>
          </xdr:cNvPr>
          <xdr:cNvGrpSpPr/>
        </xdr:nvGrpSpPr>
        <xdr:grpSpPr>
          <a:xfrm>
            <a:off x="936725" y="480277"/>
            <a:ext cx="1124600" cy="959891"/>
            <a:chOff x="1122580" y="628960"/>
            <a:chExt cx="1124600" cy="959891"/>
          </a:xfrm>
        </xdr:grpSpPr>
        <xdr:sp macro="" textlink="">
          <xdr:nvSpPr>
            <xdr:cNvPr id="7" name="Rectangle: Rounded Corners 6">
              <a:extLst>
                <a:ext uri="{FF2B5EF4-FFF2-40B4-BE49-F238E27FC236}">
                  <a16:creationId xmlns:a16="http://schemas.microsoft.com/office/drawing/2014/main" id="{EF883E66-603D-4AED-97A5-849700F3586A}"/>
                </a:ext>
              </a:extLst>
            </xdr:cNvPr>
            <xdr:cNvSpPr/>
          </xdr:nvSpPr>
          <xdr:spPr>
            <a:xfrm>
              <a:off x="1123950" y="628960"/>
              <a:ext cx="857250" cy="910683"/>
            </a:xfrm>
            <a:prstGeom prst="roundRect">
              <a:avLst/>
            </a:prstGeom>
            <a:gradFill>
              <a:gsLst>
                <a:gs pos="0">
                  <a:srgbClr val="F57E1B"/>
                </a:gs>
                <a:gs pos="84000">
                  <a:srgbClr val="A54C03"/>
                </a:gs>
              </a:gsLst>
              <a:lin ang="180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TextBox 13">
              <a:extLst>
                <a:ext uri="{FF2B5EF4-FFF2-40B4-BE49-F238E27FC236}">
                  <a16:creationId xmlns:a16="http://schemas.microsoft.com/office/drawing/2014/main" id="{010194D8-2974-4FCE-93C9-0FB264AC8F2F}"/>
                </a:ext>
              </a:extLst>
            </xdr:cNvPr>
            <xdr:cNvSpPr txBox="1"/>
          </xdr:nvSpPr>
          <xdr:spPr>
            <a:xfrm>
              <a:off x="1124232" y="630204"/>
              <a:ext cx="1122948" cy="413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900" cap="all">
                  <a:ln>
                    <a:noFill/>
                  </a:ln>
                  <a:solidFill>
                    <a:schemeClr val="bg1"/>
                  </a:solidFill>
                  <a:latin typeface="Bodoni MT" panose="02070603080606020203" pitchFamily="18" charset="0"/>
                </a:rPr>
                <a:t>T</a:t>
              </a:r>
              <a:r>
                <a:rPr lang="en-US" sz="600" cap="all">
                  <a:ln>
                    <a:noFill/>
                  </a:ln>
                  <a:solidFill>
                    <a:schemeClr val="bg1"/>
                  </a:solidFill>
                  <a:latin typeface="Bodoni MT" panose="02070603080606020203" pitchFamily="18" charset="0"/>
                </a:rPr>
                <a:t>otal</a:t>
              </a:r>
              <a:r>
                <a:rPr lang="en-US" sz="900" cap="all" baseline="0">
                  <a:ln>
                    <a:noFill/>
                  </a:ln>
                  <a:solidFill>
                    <a:schemeClr val="bg1"/>
                  </a:solidFill>
                  <a:latin typeface="Bodoni MT" panose="02070603080606020203" pitchFamily="18" charset="0"/>
                </a:rPr>
                <a:t> W</a:t>
              </a:r>
              <a:r>
                <a:rPr lang="en-US" sz="600" cap="all" baseline="0">
                  <a:ln>
                    <a:noFill/>
                  </a:ln>
                  <a:solidFill>
                    <a:schemeClr val="bg1"/>
                  </a:solidFill>
                  <a:latin typeface="Bodoni MT" panose="02070603080606020203" pitchFamily="18" charset="0"/>
                </a:rPr>
                <a:t>ithdrawals</a:t>
              </a:r>
              <a:endParaRPr lang="en-US" sz="900" cap="all">
                <a:ln>
                  <a:noFill/>
                </a:ln>
                <a:solidFill>
                  <a:schemeClr val="bg1"/>
                </a:solidFill>
                <a:latin typeface="Bodoni MT" panose="02070603080606020203" pitchFamily="18" charset="0"/>
              </a:endParaRPr>
            </a:p>
          </xdr:txBody>
        </xdr:sp>
        <xdr:sp macro="" textlink="Sheet2!B2">
          <xdr:nvSpPr>
            <xdr:cNvPr id="17" name="TextBox 16">
              <a:extLst>
                <a:ext uri="{FF2B5EF4-FFF2-40B4-BE49-F238E27FC236}">
                  <a16:creationId xmlns:a16="http://schemas.microsoft.com/office/drawing/2014/main" id="{CF14AA94-C229-12CB-AC07-02ACF248F73B}"/>
                </a:ext>
              </a:extLst>
            </xdr:cNvPr>
            <xdr:cNvSpPr txBox="1"/>
          </xdr:nvSpPr>
          <xdr:spPr>
            <a:xfrm>
              <a:off x="1122580" y="1306353"/>
              <a:ext cx="970156" cy="2824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149EB0-E9BF-4FAE-9B19-5248A21BA6F7}" type="TxLink">
                <a:rPr lang="en-US" sz="800" b="0" i="0" u="none" strike="noStrike">
                  <a:solidFill>
                    <a:schemeClr val="bg1"/>
                  </a:solidFill>
                  <a:latin typeface="Britannic Bold" panose="020B0903060703020204" pitchFamily="34" charset="0"/>
                  <a:ea typeface="Calibri"/>
                  <a:cs typeface="Calibri"/>
                </a:rPr>
                <a:pPr/>
                <a:t> $8,88,857.00 </a:t>
              </a:fld>
              <a:endParaRPr lang="en-US" sz="500">
                <a:solidFill>
                  <a:schemeClr val="bg1"/>
                </a:solidFill>
                <a:latin typeface="Britannic Bold" panose="020B0903060703020204" pitchFamily="34" charset="0"/>
              </a:endParaRPr>
            </a:p>
          </xdr:txBody>
        </xdr:sp>
      </xdr:grpSp>
      <xdr:graphicFrame macro="">
        <xdr:nvGraphicFramePr>
          <xdr:cNvPr id="34" name="Chart 33">
            <a:extLst>
              <a:ext uri="{FF2B5EF4-FFF2-40B4-BE49-F238E27FC236}">
                <a16:creationId xmlns:a16="http://schemas.microsoft.com/office/drawing/2014/main" id="{CAF85D7F-379E-43CC-A1F0-5EA24E03AD22}"/>
              </a:ext>
            </a:extLst>
          </xdr:cNvPr>
          <xdr:cNvGraphicFramePr>
            <a:graphicFrameLocks/>
          </xdr:cNvGraphicFramePr>
        </xdr:nvGraphicFramePr>
        <xdr:xfrm>
          <a:off x="922565" y="722887"/>
          <a:ext cx="854926" cy="442329"/>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xdr:col>
      <xdr:colOff>268939</xdr:colOff>
      <xdr:row>2</xdr:row>
      <xdr:rowOff>137542</xdr:rowOff>
    </xdr:from>
    <xdr:to>
      <xdr:col>6</xdr:col>
      <xdr:colOff>502022</xdr:colOff>
      <xdr:row>8</xdr:row>
      <xdr:rowOff>71717</xdr:rowOff>
    </xdr:to>
    <xdr:grpSp>
      <xdr:nvGrpSpPr>
        <xdr:cNvPr id="36" name="Group 35">
          <a:extLst>
            <a:ext uri="{FF2B5EF4-FFF2-40B4-BE49-F238E27FC236}">
              <a16:creationId xmlns:a16="http://schemas.microsoft.com/office/drawing/2014/main" id="{1FCD54E7-886C-E5A6-4B07-39BF6CBE1643}"/>
            </a:ext>
          </a:extLst>
        </xdr:cNvPr>
        <xdr:cNvGrpSpPr/>
      </xdr:nvGrpSpPr>
      <xdr:grpSpPr>
        <a:xfrm>
          <a:off x="878539" y="505095"/>
          <a:ext cx="3281083" cy="1036834"/>
          <a:chOff x="1780108" y="474514"/>
          <a:chExt cx="1646084" cy="956777"/>
        </a:xfrm>
      </xdr:grpSpPr>
      <xdr:grpSp>
        <xdr:nvGrpSpPr>
          <xdr:cNvPr id="24" name="Group 23">
            <a:extLst>
              <a:ext uri="{FF2B5EF4-FFF2-40B4-BE49-F238E27FC236}">
                <a16:creationId xmlns:a16="http://schemas.microsoft.com/office/drawing/2014/main" id="{9B38A190-5D90-3934-D999-70330C64DBB2}"/>
              </a:ext>
            </a:extLst>
          </xdr:cNvPr>
          <xdr:cNvGrpSpPr/>
        </xdr:nvGrpSpPr>
        <xdr:grpSpPr>
          <a:xfrm>
            <a:off x="1824133" y="474514"/>
            <a:ext cx="1602059" cy="956777"/>
            <a:chOff x="2114065" y="630631"/>
            <a:chExt cx="1602059" cy="956777"/>
          </a:xfrm>
        </xdr:grpSpPr>
        <xdr:sp macro="" textlink="">
          <xdr:nvSpPr>
            <xdr:cNvPr id="8" name="Rectangle: Rounded Corners 7">
              <a:extLst>
                <a:ext uri="{FF2B5EF4-FFF2-40B4-BE49-F238E27FC236}">
                  <a16:creationId xmlns:a16="http://schemas.microsoft.com/office/drawing/2014/main" id="{E3DE376F-C5B1-4262-A026-39648FDE8260}"/>
                </a:ext>
              </a:extLst>
            </xdr:cNvPr>
            <xdr:cNvSpPr/>
          </xdr:nvSpPr>
          <xdr:spPr>
            <a:xfrm>
              <a:off x="2120900" y="635310"/>
              <a:ext cx="857250" cy="910683"/>
            </a:xfrm>
            <a:prstGeom prst="roundRect">
              <a:avLst/>
            </a:prstGeom>
            <a:gradFill>
              <a:gsLst>
                <a:gs pos="0">
                  <a:srgbClr val="F57E1B"/>
                </a:gs>
                <a:gs pos="84000">
                  <a:srgbClr val="A54C03"/>
                </a:gs>
              </a:gsLst>
              <a:lin ang="180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TextBox 14">
              <a:extLst>
                <a:ext uri="{FF2B5EF4-FFF2-40B4-BE49-F238E27FC236}">
                  <a16:creationId xmlns:a16="http://schemas.microsoft.com/office/drawing/2014/main" id="{3383BFD7-31C6-4956-A867-BE25EFD67E9F}"/>
                </a:ext>
              </a:extLst>
            </xdr:cNvPr>
            <xdr:cNvSpPr txBox="1"/>
          </xdr:nvSpPr>
          <xdr:spPr>
            <a:xfrm>
              <a:off x="2125256" y="630631"/>
              <a:ext cx="626311" cy="729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900" cap="all">
                  <a:ln>
                    <a:noFill/>
                  </a:ln>
                  <a:solidFill>
                    <a:schemeClr val="bg1"/>
                  </a:solidFill>
                  <a:latin typeface="Bodoni MT" panose="02070603080606020203" pitchFamily="18" charset="0"/>
                </a:rPr>
                <a:t>T</a:t>
              </a:r>
              <a:r>
                <a:rPr lang="en-US" sz="600" cap="all">
                  <a:ln>
                    <a:noFill/>
                  </a:ln>
                  <a:solidFill>
                    <a:schemeClr val="bg1"/>
                  </a:solidFill>
                  <a:latin typeface="Bodoni MT" panose="02070603080606020203" pitchFamily="18" charset="0"/>
                </a:rPr>
                <a:t>otal</a:t>
              </a:r>
              <a:r>
                <a:rPr lang="en-US" sz="900" cap="all" baseline="0">
                  <a:ln>
                    <a:noFill/>
                  </a:ln>
                  <a:solidFill>
                    <a:schemeClr val="bg1"/>
                  </a:solidFill>
                  <a:latin typeface="Bodoni MT" panose="02070603080606020203" pitchFamily="18" charset="0"/>
                </a:rPr>
                <a:t> l</a:t>
              </a:r>
              <a:r>
                <a:rPr lang="en-US" sz="600" cap="all" baseline="0">
                  <a:ln>
                    <a:noFill/>
                  </a:ln>
                  <a:solidFill>
                    <a:schemeClr val="bg1"/>
                  </a:solidFill>
                  <a:latin typeface="Bodoni MT" panose="02070603080606020203" pitchFamily="18" charset="0"/>
                </a:rPr>
                <a:t>oans</a:t>
              </a:r>
              <a:endParaRPr lang="en-US" sz="900" cap="all">
                <a:ln>
                  <a:noFill/>
                </a:ln>
                <a:solidFill>
                  <a:schemeClr val="bg1"/>
                </a:solidFill>
                <a:latin typeface="Bodoni MT" panose="02070603080606020203" pitchFamily="18" charset="0"/>
              </a:endParaRPr>
            </a:p>
          </xdr:txBody>
        </xdr:sp>
        <xdr:sp macro="" textlink="Sheet3!B4">
          <xdr:nvSpPr>
            <xdr:cNvPr id="18" name="TextBox 17">
              <a:extLst>
                <a:ext uri="{FF2B5EF4-FFF2-40B4-BE49-F238E27FC236}">
                  <a16:creationId xmlns:a16="http://schemas.microsoft.com/office/drawing/2014/main" id="{531B72D1-0FC6-54F6-4C27-E2D101C2BD4A}"/>
                </a:ext>
              </a:extLst>
            </xdr:cNvPr>
            <xdr:cNvSpPr txBox="1"/>
          </xdr:nvSpPr>
          <xdr:spPr>
            <a:xfrm>
              <a:off x="2114065" y="1304910"/>
              <a:ext cx="1602059" cy="2824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6F87956-6049-4B4D-8CF7-E499CADA6C1F}" type="TxLink">
                <a:rPr lang="en-US" sz="800" b="0" i="0" u="none" strike="noStrike">
                  <a:solidFill>
                    <a:schemeClr val="bg1"/>
                  </a:solidFill>
                  <a:latin typeface="Britannic Bold" panose="020B0903060703020204" pitchFamily="34" charset="0"/>
                  <a:ea typeface="Calibri"/>
                  <a:cs typeface="Calibri"/>
                </a:rPr>
                <a:pPr/>
                <a:t> $2,03,36,291.00 </a:t>
              </a:fld>
              <a:endParaRPr lang="en-US" sz="200">
                <a:solidFill>
                  <a:schemeClr val="bg1"/>
                </a:solidFill>
                <a:latin typeface="Britannic Bold" panose="020B0903060703020204" pitchFamily="34" charset="0"/>
              </a:endParaRPr>
            </a:p>
          </xdr:txBody>
        </xdr:sp>
      </xdr:grpSp>
      <xdr:graphicFrame macro="">
        <xdr:nvGraphicFramePr>
          <xdr:cNvPr id="35" name="Chart 34">
            <a:extLst>
              <a:ext uri="{FF2B5EF4-FFF2-40B4-BE49-F238E27FC236}">
                <a16:creationId xmlns:a16="http://schemas.microsoft.com/office/drawing/2014/main" id="{49805408-9744-49C0-A1D8-AD69D7A5E1B3}"/>
              </a:ext>
            </a:extLst>
          </xdr:cNvPr>
          <xdr:cNvGraphicFramePr>
            <a:graphicFrameLocks/>
          </xdr:cNvGraphicFramePr>
        </xdr:nvGraphicFramePr>
        <xdr:xfrm>
          <a:off x="1780108" y="706570"/>
          <a:ext cx="941340" cy="559435"/>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4</xdr:col>
      <xdr:colOff>364268</xdr:colOff>
      <xdr:row>10</xdr:row>
      <xdr:rowOff>174811</xdr:rowOff>
    </xdr:from>
    <xdr:to>
      <xdr:col>9</xdr:col>
      <xdr:colOff>416859</xdr:colOff>
      <xdr:row>20</xdr:row>
      <xdr:rowOff>114389</xdr:rowOff>
    </xdr:to>
    <xdr:grpSp>
      <xdr:nvGrpSpPr>
        <xdr:cNvPr id="33" name="Group 32">
          <a:extLst>
            <a:ext uri="{FF2B5EF4-FFF2-40B4-BE49-F238E27FC236}">
              <a16:creationId xmlns:a16="http://schemas.microsoft.com/office/drawing/2014/main" id="{803EE4FA-955E-2DD1-C61E-49D5E9663D50}"/>
            </a:ext>
          </a:extLst>
        </xdr:cNvPr>
        <xdr:cNvGrpSpPr/>
      </xdr:nvGrpSpPr>
      <xdr:grpSpPr>
        <a:xfrm>
          <a:off x="2802668" y="2012576"/>
          <a:ext cx="3100591" cy="1777342"/>
          <a:chOff x="2474641" y="1340095"/>
          <a:chExt cx="3067606" cy="1840205"/>
        </a:xfrm>
      </xdr:grpSpPr>
      <xdr:grpSp>
        <xdr:nvGrpSpPr>
          <xdr:cNvPr id="31" name="Group 30">
            <a:extLst>
              <a:ext uri="{FF2B5EF4-FFF2-40B4-BE49-F238E27FC236}">
                <a16:creationId xmlns:a16="http://schemas.microsoft.com/office/drawing/2014/main" id="{A8FD3A03-D83F-AC54-581A-47D843DE0081}"/>
              </a:ext>
            </a:extLst>
          </xdr:cNvPr>
          <xdr:cNvGrpSpPr/>
        </xdr:nvGrpSpPr>
        <xdr:grpSpPr>
          <a:xfrm>
            <a:off x="2474641" y="1340095"/>
            <a:ext cx="3067606" cy="1840205"/>
            <a:chOff x="342449" y="1278307"/>
            <a:chExt cx="3067606" cy="1847493"/>
          </a:xfrm>
        </xdr:grpSpPr>
        <xdr:grpSp>
          <xdr:nvGrpSpPr>
            <xdr:cNvPr id="30" name="Group 29">
              <a:extLst>
                <a:ext uri="{FF2B5EF4-FFF2-40B4-BE49-F238E27FC236}">
                  <a16:creationId xmlns:a16="http://schemas.microsoft.com/office/drawing/2014/main" id="{5C4412F6-3502-3C74-2876-B5273A243B47}"/>
                </a:ext>
              </a:extLst>
            </xdr:cNvPr>
            <xdr:cNvGrpSpPr/>
          </xdr:nvGrpSpPr>
          <xdr:grpSpPr>
            <a:xfrm>
              <a:off x="342449" y="1278307"/>
              <a:ext cx="3067606" cy="1847493"/>
              <a:chOff x="342449" y="1267193"/>
              <a:chExt cx="3071816" cy="1827117"/>
            </a:xfrm>
          </xdr:grpSpPr>
          <xdr:grpSp>
            <xdr:nvGrpSpPr>
              <xdr:cNvPr id="28" name="Group 27">
                <a:extLst>
                  <a:ext uri="{FF2B5EF4-FFF2-40B4-BE49-F238E27FC236}">
                    <a16:creationId xmlns:a16="http://schemas.microsoft.com/office/drawing/2014/main" id="{B12C4714-26E6-B806-A655-8931BD672327}"/>
                  </a:ext>
                </a:extLst>
              </xdr:cNvPr>
              <xdr:cNvGrpSpPr/>
            </xdr:nvGrpSpPr>
            <xdr:grpSpPr>
              <a:xfrm>
                <a:off x="342449" y="1267193"/>
                <a:ext cx="3071816" cy="1827117"/>
                <a:chOff x="342449" y="1267193"/>
                <a:chExt cx="3071816" cy="1827117"/>
              </a:xfrm>
            </xdr:grpSpPr>
            <xdr:grpSp>
              <xdr:nvGrpSpPr>
                <xdr:cNvPr id="44" name="Group 43">
                  <a:extLst>
                    <a:ext uri="{FF2B5EF4-FFF2-40B4-BE49-F238E27FC236}">
                      <a16:creationId xmlns:a16="http://schemas.microsoft.com/office/drawing/2014/main" id="{17333DF1-7036-01A7-5845-A5002EE26A93}"/>
                    </a:ext>
                  </a:extLst>
                </xdr:cNvPr>
                <xdr:cNvGrpSpPr/>
              </xdr:nvGrpSpPr>
              <xdr:grpSpPr>
                <a:xfrm>
                  <a:off x="342449" y="1267193"/>
                  <a:ext cx="3071816" cy="1827117"/>
                  <a:chOff x="48322" y="1419923"/>
                  <a:chExt cx="3015816" cy="1282390"/>
                </a:xfrm>
              </xdr:grpSpPr>
              <xdr:sp macro="" textlink="">
                <xdr:nvSpPr>
                  <xdr:cNvPr id="41" name="Rectangle: Rounded Corners 40">
                    <a:extLst>
                      <a:ext uri="{FF2B5EF4-FFF2-40B4-BE49-F238E27FC236}">
                        <a16:creationId xmlns:a16="http://schemas.microsoft.com/office/drawing/2014/main" id="{EF4ED937-4198-4FBE-8EFD-219070C6CBED}"/>
                      </a:ext>
                    </a:extLst>
                  </xdr:cNvPr>
                  <xdr:cNvSpPr>
                    <a:spLocks/>
                  </xdr:cNvSpPr>
                </xdr:nvSpPr>
                <xdr:spPr>
                  <a:xfrm>
                    <a:off x="48322" y="1419923"/>
                    <a:ext cx="2642839" cy="1282390"/>
                  </a:xfrm>
                  <a:prstGeom prst="roundRect">
                    <a:avLst/>
                  </a:prstGeom>
                  <a:gradFill flip="none" rotWithShape="1">
                    <a:gsLst>
                      <a:gs pos="23000">
                        <a:srgbClr val="A54C03"/>
                      </a:gs>
                      <a:gs pos="100000">
                        <a:srgbClr val="F57E1B">
                          <a:lumMod val="100000"/>
                        </a:srgbClr>
                      </a:gs>
                    </a:gsLst>
                    <a:lin ang="72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0" name="Chart 39">
                    <a:extLst>
                      <a:ext uri="{FF2B5EF4-FFF2-40B4-BE49-F238E27FC236}">
                        <a16:creationId xmlns:a16="http://schemas.microsoft.com/office/drawing/2014/main" id="{30FB4F64-70E6-4753-AE48-6EED530C75DA}"/>
                      </a:ext>
                    </a:extLst>
                  </xdr:cNvPr>
                  <xdr:cNvGraphicFramePr>
                    <a:graphicFrameLocks/>
                  </xdr:cNvGraphicFramePr>
                </xdr:nvGraphicFramePr>
                <xdr:xfrm>
                  <a:off x="96643" y="1639229"/>
                  <a:ext cx="2967495" cy="1059559"/>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43" name="TextBox 42">
                    <a:extLst>
                      <a:ext uri="{FF2B5EF4-FFF2-40B4-BE49-F238E27FC236}">
                        <a16:creationId xmlns:a16="http://schemas.microsoft.com/office/drawing/2014/main" id="{B7BCA9AC-F65A-775B-28E7-F7BFC8B23384}"/>
                      </a:ext>
                    </a:extLst>
                  </xdr:cNvPr>
                  <xdr:cNvSpPr txBox="1"/>
                </xdr:nvSpPr>
                <xdr:spPr>
                  <a:xfrm>
                    <a:off x="136203" y="1453572"/>
                    <a:ext cx="2657826" cy="204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latin typeface="Bodoni MT" panose="02070603080606020203" pitchFamily="18" charset="0"/>
                      </a:rPr>
                      <a:t>D</a:t>
                    </a:r>
                    <a:r>
                      <a:rPr lang="en-US" sz="1050">
                        <a:solidFill>
                          <a:schemeClr val="bg1"/>
                        </a:solidFill>
                        <a:latin typeface="Bodoni MT" panose="02070603080606020203" pitchFamily="18" charset="0"/>
                      </a:rPr>
                      <a:t>EPOSITS</a:t>
                    </a:r>
                    <a:r>
                      <a:rPr lang="en-US" sz="1100">
                        <a:solidFill>
                          <a:schemeClr val="bg1"/>
                        </a:solidFill>
                        <a:latin typeface="Bodoni MT" panose="02070603080606020203" pitchFamily="18" charset="0"/>
                      </a:rPr>
                      <a:t> </a:t>
                    </a:r>
                    <a:r>
                      <a:rPr lang="en-US" sz="1000">
                        <a:solidFill>
                          <a:schemeClr val="bg1"/>
                        </a:solidFill>
                        <a:latin typeface="Bodoni MT" panose="02070603080606020203" pitchFamily="18" charset="0"/>
                      </a:rPr>
                      <a:t>VS </a:t>
                    </a:r>
                    <a:r>
                      <a:rPr lang="en-US" sz="1400">
                        <a:solidFill>
                          <a:schemeClr val="bg1"/>
                        </a:solidFill>
                        <a:latin typeface="Bodoni MT" panose="02070603080606020203" pitchFamily="18" charset="0"/>
                      </a:rPr>
                      <a:t>W</a:t>
                    </a:r>
                    <a:r>
                      <a:rPr lang="en-US" sz="1050">
                        <a:solidFill>
                          <a:schemeClr val="bg1"/>
                        </a:solidFill>
                        <a:latin typeface="Bodoni MT" panose="02070603080606020203" pitchFamily="18" charset="0"/>
                      </a:rPr>
                      <a:t>ITHDRAWALS</a:t>
                    </a:r>
                    <a:endParaRPr lang="en-US" sz="1100">
                      <a:solidFill>
                        <a:schemeClr val="bg1"/>
                      </a:solidFill>
                      <a:latin typeface="Bodoni MT" panose="02070603080606020203" pitchFamily="18" charset="0"/>
                    </a:endParaRPr>
                  </a:p>
                </xdr:txBody>
              </xdr:sp>
            </xdr:grpSp>
            <xdr:sp macro="" textlink="">
              <xdr:nvSpPr>
                <xdr:cNvPr id="45" name="TextBox 44">
                  <a:extLst>
                    <a:ext uri="{FF2B5EF4-FFF2-40B4-BE49-F238E27FC236}">
                      <a16:creationId xmlns:a16="http://schemas.microsoft.com/office/drawing/2014/main" id="{087B8F9A-E5F4-28E2-CBD7-50A95EDFA4AA}"/>
                    </a:ext>
                  </a:extLst>
                </xdr:cNvPr>
                <xdr:cNvSpPr txBox="1"/>
              </xdr:nvSpPr>
              <xdr:spPr>
                <a:xfrm>
                  <a:off x="2084820" y="1724149"/>
                  <a:ext cx="1020163" cy="233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700">
                      <a:solidFill>
                        <a:schemeClr val="bg1"/>
                      </a:solidFill>
                      <a:latin typeface="Bodoni MT Condensed" panose="02070606080606020203" pitchFamily="18" charset="0"/>
                    </a:rPr>
                    <a:t>Total</a:t>
                  </a:r>
                  <a:r>
                    <a:rPr lang="en-US" sz="700" baseline="0">
                      <a:solidFill>
                        <a:schemeClr val="bg1"/>
                      </a:solidFill>
                      <a:latin typeface="Bodoni MT Condensed" panose="02070606080606020203" pitchFamily="18" charset="0"/>
                    </a:rPr>
                    <a:t> Deposits</a:t>
                  </a:r>
                </a:p>
              </xdr:txBody>
            </xdr:sp>
          </xdr:grpSp>
          <xdr:sp macro="" textlink="">
            <xdr:nvSpPr>
              <xdr:cNvPr id="46" name="Rectangle 45">
                <a:extLst>
                  <a:ext uri="{FF2B5EF4-FFF2-40B4-BE49-F238E27FC236}">
                    <a16:creationId xmlns:a16="http://schemas.microsoft.com/office/drawing/2014/main" id="{244FAC6F-1438-1023-FAF5-867F6E120A36}"/>
                  </a:ext>
                </a:extLst>
              </xdr:cNvPr>
              <xdr:cNvSpPr/>
            </xdr:nvSpPr>
            <xdr:spPr>
              <a:xfrm>
                <a:off x="2106560" y="1800414"/>
                <a:ext cx="45719" cy="4571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48" name="Rectangle 47">
              <a:extLst>
                <a:ext uri="{FF2B5EF4-FFF2-40B4-BE49-F238E27FC236}">
                  <a16:creationId xmlns:a16="http://schemas.microsoft.com/office/drawing/2014/main" id="{E9149932-E441-4D85-BDCC-3EABA8F1B4F7}"/>
                </a:ext>
              </a:extLst>
            </xdr:cNvPr>
            <xdr:cNvSpPr/>
          </xdr:nvSpPr>
          <xdr:spPr>
            <a:xfrm>
              <a:off x="2101229" y="1951951"/>
              <a:ext cx="45719" cy="45719"/>
            </a:xfrm>
            <a:prstGeom prst="rect">
              <a:avLst/>
            </a:prstGeom>
            <a:solidFill>
              <a:srgbClr val="381A0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47" name="TextBox 46">
            <a:extLst>
              <a:ext uri="{FF2B5EF4-FFF2-40B4-BE49-F238E27FC236}">
                <a16:creationId xmlns:a16="http://schemas.microsoft.com/office/drawing/2014/main" id="{ECDF4407-5EBC-46B0-9503-65A216BCCF93}"/>
              </a:ext>
            </a:extLst>
          </xdr:cNvPr>
          <xdr:cNvSpPr txBox="1"/>
        </xdr:nvSpPr>
        <xdr:spPr>
          <a:xfrm>
            <a:off x="4212404" y="1922964"/>
            <a:ext cx="918101" cy="2324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700">
                <a:solidFill>
                  <a:schemeClr val="bg1"/>
                </a:solidFill>
                <a:latin typeface="Bodoni MT Condensed" panose="02070606080606020203" pitchFamily="18" charset="0"/>
              </a:rPr>
              <a:t>Total</a:t>
            </a:r>
            <a:r>
              <a:rPr lang="en-US" sz="700" baseline="0">
                <a:solidFill>
                  <a:schemeClr val="bg1"/>
                </a:solidFill>
                <a:latin typeface="Bodoni MT Condensed" panose="02070606080606020203" pitchFamily="18" charset="0"/>
              </a:rPr>
              <a:t> Withdrawals</a:t>
            </a:r>
          </a:p>
        </xdr:txBody>
      </xdr:sp>
    </xdr:grpSp>
    <xdr:clientData/>
  </xdr:twoCellAnchor>
  <xdr:twoCellAnchor>
    <xdr:from>
      <xdr:col>0</xdr:col>
      <xdr:colOff>47625</xdr:colOff>
      <xdr:row>2</xdr:row>
      <xdr:rowOff>125506</xdr:rowOff>
    </xdr:from>
    <xdr:to>
      <xdr:col>1</xdr:col>
      <xdr:colOff>273424</xdr:colOff>
      <xdr:row>20</xdr:row>
      <xdr:rowOff>94130</xdr:rowOff>
    </xdr:to>
    <xdr:grpSp>
      <xdr:nvGrpSpPr>
        <xdr:cNvPr id="51" name="Group 50">
          <a:extLst>
            <a:ext uri="{FF2B5EF4-FFF2-40B4-BE49-F238E27FC236}">
              <a16:creationId xmlns:a16="http://schemas.microsoft.com/office/drawing/2014/main" id="{6D726BD4-7015-A71C-661D-18579177618D}"/>
            </a:ext>
          </a:extLst>
        </xdr:cNvPr>
        <xdr:cNvGrpSpPr/>
      </xdr:nvGrpSpPr>
      <xdr:grpSpPr>
        <a:xfrm>
          <a:off x="47625" y="493059"/>
          <a:ext cx="835399" cy="3276600"/>
          <a:chOff x="166688" y="2962276"/>
          <a:chExt cx="6172200" cy="400050"/>
        </a:xfrm>
      </xdr:grpSpPr>
      <xdr:sp macro="" textlink="">
        <xdr:nvSpPr>
          <xdr:cNvPr id="49" name="Rectangle: Rounded Corners 48">
            <a:extLst>
              <a:ext uri="{FF2B5EF4-FFF2-40B4-BE49-F238E27FC236}">
                <a16:creationId xmlns:a16="http://schemas.microsoft.com/office/drawing/2014/main" id="{FDFFDA60-1923-3D9E-2BAA-6CD06F38BBC1}"/>
              </a:ext>
            </a:extLst>
          </xdr:cNvPr>
          <xdr:cNvSpPr/>
        </xdr:nvSpPr>
        <xdr:spPr>
          <a:xfrm>
            <a:off x="166688" y="2962276"/>
            <a:ext cx="6172200" cy="400050"/>
          </a:xfrm>
          <a:prstGeom prst="roundRect">
            <a:avLst/>
          </a:prstGeom>
          <a:solidFill>
            <a:srgbClr val="C35D0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20" name="Month 1">
                <a:extLst>
                  <a:ext uri="{FF2B5EF4-FFF2-40B4-BE49-F238E27FC236}">
                    <a16:creationId xmlns:a16="http://schemas.microsoft.com/office/drawing/2014/main" id="{7FFC9BD3-1E98-4278-8758-247B7BD96B35}"/>
                  </a:ext>
                </a:extLst>
              </xdr:cNvPr>
              <xdr:cNvGraphicFramePr>
                <a:graphicFrameLocks/>
              </xdr:cNvGraphicFramePr>
            </xdr:nvGraphicFramePr>
            <xdr:xfrm>
              <a:off x="551819" y="2996754"/>
              <a:ext cx="5536900" cy="353532"/>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99752" y="775450"/>
                <a:ext cx="749412" cy="28955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4</xdr:col>
      <xdr:colOff>339694</xdr:colOff>
      <xdr:row>0</xdr:row>
      <xdr:rowOff>67235</xdr:rowOff>
    </xdr:from>
    <xdr:to>
      <xdr:col>9</xdr:col>
      <xdr:colOff>49306</xdr:colOff>
      <xdr:row>10</xdr:row>
      <xdr:rowOff>107576</xdr:rowOff>
    </xdr:to>
    <xdr:grpSp>
      <xdr:nvGrpSpPr>
        <xdr:cNvPr id="26" name="Group 25">
          <a:extLst>
            <a:ext uri="{FF2B5EF4-FFF2-40B4-BE49-F238E27FC236}">
              <a16:creationId xmlns:a16="http://schemas.microsoft.com/office/drawing/2014/main" id="{FFFA4F56-D70A-EE97-83F1-781A61948D92}"/>
            </a:ext>
          </a:extLst>
        </xdr:cNvPr>
        <xdr:cNvGrpSpPr/>
      </xdr:nvGrpSpPr>
      <xdr:grpSpPr>
        <a:xfrm>
          <a:off x="2778094" y="67235"/>
          <a:ext cx="2757612" cy="1878106"/>
          <a:chOff x="2770144" y="1410331"/>
          <a:chExt cx="2795588" cy="1835537"/>
        </a:xfrm>
      </xdr:grpSpPr>
      <xdr:sp macro="" textlink="">
        <xdr:nvSpPr>
          <xdr:cNvPr id="12" name="Rectangle: Rounded Corners 11">
            <a:extLst>
              <a:ext uri="{FF2B5EF4-FFF2-40B4-BE49-F238E27FC236}">
                <a16:creationId xmlns:a16="http://schemas.microsoft.com/office/drawing/2014/main" id="{0A5996C0-DE30-DA9E-1074-3A26F3FF8359}"/>
              </a:ext>
            </a:extLst>
          </xdr:cNvPr>
          <xdr:cNvSpPr/>
        </xdr:nvSpPr>
        <xdr:spPr>
          <a:xfrm>
            <a:off x="2770144" y="1410331"/>
            <a:ext cx="2749094" cy="1835537"/>
          </a:xfrm>
          <a:prstGeom prst="roundRect">
            <a:avLst/>
          </a:prstGeom>
          <a:gradFill>
            <a:gsLst>
              <a:gs pos="0">
                <a:srgbClr val="F57E1B"/>
              </a:gs>
              <a:gs pos="71000">
                <a:srgbClr val="A54C03"/>
              </a:gs>
            </a:gsLst>
            <a:lin ang="186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3" name="Chart 12">
            <a:extLst>
              <a:ext uri="{FF2B5EF4-FFF2-40B4-BE49-F238E27FC236}">
                <a16:creationId xmlns:a16="http://schemas.microsoft.com/office/drawing/2014/main" id="{2697DA38-31A0-4AAC-B127-2C79FC0D1FEE}"/>
              </a:ext>
            </a:extLst>
          </xdr:cNvPr>
          <xdr:cNvGraphicFramePr>
            <a:graphicFrameLocks/>
          </xdr:cNvGraphicFramePr>
        </xdr:nvGraphicFramePr>
        <xdr:xfrm>
          <a:off x="2808033" y="1688188"/>
          <a:ext cx="2673315" cy="1448219"/>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25" name="TextBox 24">
            <a:extLst>
              <a:ext uri="{FF2B5EF4-FFF2-40B4-BE49-F238E27FC236}">
                <a16:creationId xmlns:a16="http://schemas.microsoft.com/office/drawing/2014/main" id="{01DEFD7D-8CB8-4D6A-82B8-E4DDD4818DA0}"/>
              </a:ext>
            </a:extLst>
          </xdr:cNvPr>
          <xdr:cNvSpPr txBox="1"/>
        </xdr:nvSpPr>
        <xdr:spPr>
          <a:xfrm>
            <a:off x="2858553" y="1435590"/>
            <a:ext cx="2707179" cy="291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latin typeface="Bodoni MT" panose="02070603080606020203" pitchFamily="18" charset="0"/>
              </a:rPr>
              <a:t>B</a:t>
            </a:r>
            <a:r>
              <a:rPr lang="en-US" sz="900">
                <a:solidFill>
                  <a:schemeClr val="bg1"/>
                </a:solidFill>
                <a:latin typeface="Bodoni MT" panose="02070603080606020203" pitchFamily="18" charset="0"/>
              </a:rPr>
              <a:t>RANCH</a:t>
            </a:r>
            <a:r>
              <a:rPr lang="en-US" sz="1200">
                <a:solidFill>
                  <a:schemeClr val="bg1"/>
                </a:solidFill>
                <a:latin typeface="Bodoni MT" panose="02070603080606020203" pitchFamily="18" charset="0"/>
              </a:rPr>
              <a:t>-</a:t>
            </a:r>
            <a:r>
              <a:rPr lang="en-US" sz="1400">
                <a:solidFill>
                  <a:schemeClr val="bg1"/>
                </a:solidFill>
                <a:latin typeface="Bodoni MT" panose="02070603080606020203" pitchFamily="18" charset="0"/>
              </a:rPr>
              <a:t>W</a:t>
            </a:r>
            <a:r>
              <a:rPr lang="en-US" sz="900">
                <a:solidFill>
                  <a:schemeClr val="bg1"/>
                </a:solidFill>
                <a:latin typeface="Bodoni MT" panose="02070603080606020203" pitchFamily="18" charset="0"/>
              </a:rPr>
              <a:t>ISE</a:t>
            </a:r>
            <a:r>
              <a:rPr lang="en-US" sz="1200" baseline="0">
                <a:solidFill>
                  <a:schemeClr val="bg1"/>
                </a:solidFill>
                <a:latin typeface="Bodoni MT" panose="02070603080606020203" pitchFamily="18" charset="0"/>
              </a:rPr>
              <a:t> </a:t>
            </a:r>
            <a:r>
              <a:rPr lang="en-US" sz="1400" baseline="0">
                <a:solidFill>
                  <a:schemeClr val="bg1"/>
                </a:solidFill>
                <a:latin typeface="Bodoni MT" panose="02070603080606020203" pitchFamily="18" charset="0"/>
              </a:rPr>
              <a:t>T</a:t>
            </a:r>
            <a:r>
              <a:rPr lang="en-US" sz="900" baseline="0">
                <a:solidFill>
                  <a:schemeClr val="bg1"/>
                </a:solidFill>
                <a:latin typeface="Bodoni MT" panose="02070603080606020203" pitchFamily="18" charset="0"/>
              </a:rPr>
              <a:t>OTAL </a:t>
            </a:r>
            <a:r>
              <a:rPr lang="en-US" sz="1400" baseline="0">
                <a:solidFill>
                  <a:schemeClr val="bg1"/>
                </a:solidFill>
                <a:latin typeface="Bodoni MT" panose="02070603080606020203" pitchFamily="18" charset="0"/>
              </a:rPr>
              <a:t>D</a:t>
            </a:r>
            <a:r>
              <a:rPr lang="en-US" sz="900" baseline="0">
                <a:solidFill>
                  <a:schemeClr val="bg1"/>
                </a:solidFill>
                <a:latin typeface="Bodoni MT" panose="02070603080606020203" pitchFamily="18" charset="0"/>
              </a:rPr>
              <a:t>EPOSITS</a:t>
            </a:r>
            <a:endParaRPr lang="en-US" sz="1200">
              <a:solidFill>
                <a:schemeClr val="bg1"/>
              </a:solidFill>
              <a:latin typeface="Bodoni MT" panose="02070603080606020203" pitchFamily="18" charset="0"/>
            </a:endParaRPr>
          </a:p>
        </xdr:txBody>
      </xdr:sp>
    </xdr:grpSp>
    <xdr:clientData/>
  </xdr:twoCellAnchor>
  <xdr:twoCellAnchor>
    <xdr:from>
      <xdr:col>9</xdr:col>
      <xdr:colOff>80682</xdr:colOff>
      <xdr:row>0</xdr:row>
      <xdr:rowOff>76200</xdr:rowOff>
    </xdr:from>
    <xdr:to>
      <xdr:col>12</xdr:col>
      <xdr:colOff>22411</xdr:colOff>
      <xdr:row>10</xdr:row>
      <xdr:rowOff>103094</xdr:rowOff>
    </xdr:to>
    <xdr:grpSp>
      <xdr:nvGrpSpPr>
        <xdr:cNvPr id="39" name="Group 38">
          <a:extLst>
            <a:ext uri="{FF2B5EF4-FFF2-40B4-BE49-F238E27FC236}">
              <a16:creationId xmlns:a16="http://schemas.microsoft.com/office/drawing/2014/main" id="{B28E49C6-B4CF-9642-12AF-733305D51AD6}"/>
            </a:ext>
          </a:extLst>
        </xdr:cNvPr>
        <xdr:cNvGrpSpPr/>
      </xdr:nvGrpSpPr>
      <xdr:grpSpPr>
        <a:xfrm>
          <a:off x="5567082" y="76200"/>
          <a:ext cx="1770529" cy="1864659"/>
          <a:chOff x="5567082" y="76200"/>
          <a:chExt cx="1770529" cy="1864659"/>
        </a:xfrm>
      </xdr:grpSpPr>
      <xdr:sp macro="" textlink="">
        <xdr:nvSpPr>
          <xdr:cNvPr id="5" name="Rectangle: Rounded Corners 4">
            <a:extLst>
              <a:ext uri="{FF2B5EF4-FFF2-40B4-BE49-F238E27FC236}">
                <a16:creationId xmlns:a16="http://schemas.microsoft.com/office/drawing/2014/main" id="{C41E1E04-107F-83DC-70DE-0C65C5AEE5E1}"/>
              </a:ext>
            </a:extLst>
          </xdr:cNvPr>
          <xdr:cNvSpPr/>
        </xdr:nvSpPr>
        <xdr:spPr>
          <a:xfrm>
            <a:off x="5571564" y="76200"/>
            <a:ext cx="1766047" cy="1864659"/>
          </a:xfrm>
          <a:prstGeom prst="roundRect">
            <a:avLst/>
          </a:prstGeom>
          <a:solidFill>
            <a:srgbClr val="381A0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7" name="Chart 26">
            <a:extLst>
              <a:ext uri="{FF2B5EF4-FFF2-40B4-BE49-F238E27FC236}">
                <a16:creationId xmlns:a16="http://schemas.microsoft.com/office/drawing/2014/main" id="{5F9E3AC1-B8F8-419E-9304-049420D75615}"/>
              </a:ext>
            </a:extLst>
          </xdr:cNvPr>
          <xdr:cNvGraphicFramePr>
            <a:graphicFrameLocks/>
          </xdr:cNvGraphicFramePr>
        </xdr:nvGraphicFramePr>
        <xdr:xfrm>
          <a:off x="5567082" y="197224"/>
          <a:ext cx="1748118" cy="1649505"/>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29" name="TextBox 28">
            <a:extLst>
              <a:ext uri="{FF2B5EF4-FFF2-40B4-BE49-F238E27FC236}">
                <a16:creationId xmlns:a16="http://schemas.microsoft.com/office/drawing/2014/main" id="{E780EBD9-9173-4A4F-AABA-9D25D86B2976}"/>
              </a:ext>
            </a:extLst>
          </xdr:cNvPr>
          <xdr:cNvSpPr txBox="1"/>
        </xdr:nvSpPr>
        <xdr:spPr>
          <a:xfrm>
            <a:off x="5656727" y="121022"/>
            <a:ext cx="1201271" cy="564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aseline="0">
                <a:solidFill>
                  <a:schemeClr val="bg1"/>
                </a:solidFill>
                <a:latin typeface="Bodoni MT" panose="02070603080606020203" pitchFamily="18" charset="0"/>
              </a:rPr>
              <a:t>MONTHLY LOAN STATUS</a:t>
            </a:r>
            <a:endParaRPr lang="en-US" sz="1050">
              <a:solidFill>
                <a:schemeClr val="bg1"/>
              </a:solidFill>
              <a:latin typeface="Bodoni MT" panose="02070603080606020203" pitchFamily="18" charset="0"/>
            </a:endParaRPr>
          </a:p>
        </xdr:txBody>
      </xdr:sp>
    </xdr:grpSp>
    <xdr:clientData/>
  </xdr:twoCellAnchor>
  <xdr:twoCellAnchor>
    <xdr:from>
      <xdr:col>12</xdr:col>
      <xdr:colOff>103094</xdr:colOff>
      <xdr:row>0</xdr:row>
      <xdr:rowOff>80683</xdr:rowOff>
    </xdr:from>
    <xdr:to>
      <xdr:col>13</xdr:col>
      <xdr:colOff>488576</xdr:colOff>
      <xdr:row>10</xdr:row>
      <xdr:rowOff>103094</xdr:rowOff>
    </xdr:to>
    <xdr:sp macro="" textlink="">
      <xdr:nvSpPr>
        <xdr:cNvPr id="42" name="Rectangle: Rounded Corners 41">
          <a:extLst>
            <a:ext uri="{FF2B5EF4-FFF2-40B4-BE49-F238E27FC236}">
              <a16:creationId xmlns:a16="http://schemas.microsoft.com/office/drawing/2014/main" id="{28368B9D-C7AA-8092-8990-5936420D7B43}"/>
            </a:ext>
          </a:extLst>
        </xdr:cNvPr>
        <xdr:cNvSpPr/>
      </xdr:nvSpPr>
      <xdr:spPr>
        <a:xfrm>
          <a:off x="7418294" y="80683"/>
          <a:ext cx="995082" cy="1860176"/>
        </a:xfrm>
        <a:prstGeom prst="roundRect">
          <a:avLst/>
        </a:prstGeom>
        <a:solidFill>
          <a:srgbClr val="381A0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116541</xdr:colOff>
      <xdr:row>0</xdr:row>
      <xdr:rowOff>121024</xdr:rowOff>
    </xdr:from>
    <xdr:to>
      <xdr:col>14</xdr:col>
      <xdr:colOff>98612</xdr:colOff>
      <xdr:row>3</xdr:row>
      <xdr:rowOff>134471</xdr:rowOff>
    </xdr:to>
    <xdr:sp macro="" textlink="">
      <xdr:nvSpPr>
        <xdr:cNvPr id="50" name="TextBox 49">
          <a:extLst>
            <a:ext uri="{FF2B5EF4-FFF2-40B4-BE49-F238E27FC236}">
              <a16:creationId xmlns:a16="http://schemas.microsoft.com/office/drawing/2014/main" id="{C0BDC7D5-3DF4-4540-A835-309433147197}"/>
            </a:ext>
          </a:extLst>
        </xdr:cNvPr>
        <xdr:cNvSpPr txBox="1"/>
      </xdr:nvSpPr>
      <xdr:spPr>
        <a:xfrm>
          <a:off x="7431741" y="121024"/>
          <a:ext cx="1201271" cy="564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latin typeface="Bodoni MT" panose="02070603080606020203" pitchFamily="18" charset="0"/>
            </a:rPr>
            <a:t>TOTAL</a:t>
          </a:r>
          <a:r>
            <a:rPr lang="en-US" sz="1000" baseline="0">
              <a:solidFill>
                <a:schemeClr val="bg1"/>
              </a:solidFill>
              <a:latin typeface="Bodoni MT" panose="02070603080606020203" pitchFamily="18" charset="0"/>
            </a:rPr>
            <a:t> CUSTOMERS</a:t>
          </a:r>
          <a:endParaRPr lang="en-US" sz="1000">
            <a:solidFill>
              <a:schemeClr val="bg1"/>
            </a:solidFill>
            <a:latin typeface="Bodoni MT" panose="02070603080606020203" pitchFamily="18" charset="0"/>
          </a:endParaRPr>
        </a:p>
      </xdr:txBody>
    </xdr:sp>
    <xdr:clientData/>
  </xdr:twoCellAnchor>
  <xdr:twoCellAnchor editAs="oneCell">
    <xdr:from>
      <xdr:col>12</xdr:col>
      <xdr:colOff>143435</xdr:colOff>
      <xdr:row>2</xdr:row>
      <xdr:rowOff>165848</xdr:rowOff>
    </xdr:from>
    <xdr:to>
      <xdr:col>13</xdr:col>
      <xdr:colOff>363069</xdr:colOff>
      <xdr:row>7</xdr:row>
      <xdr:rowOff>76200</xdr:rowOff>
    </xdr:to>
    <xdr:pic>
      <xdr:nvPicPr>
        <xdr:cNvPr id="53" name="Graphic 52" descr="Customer review with solid fill">
          <a:extLst>
            <a:ext uri="{FF2B5EF4-FFF2-40B4-BE49-F238E27FC236}">
              <a16:creationId xmlns:a16="http://schemas.microsoft.com/office/drawing/2014/main" id="{00DB14DC-41E0-92B2-AC1D-0FD4DB59081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458635" y="533401"/>
          <a:ext cx="829234" cy="829234"/>
        </a:xfrm>
        <a:prstGeom prst="rect">
          <a:avLst/>
        </a:prstGeom>
      </xdr:spPr>
    </xdr:pic>
    <xdr:clientData/>
  </xdr:twoCellAnchor>
  <xdr:twoCellAnchor>
    <xdr:from>
      <xdr:col>12</xdr:col>
      <xdr:colOff>192742</xdr:colOff>
      <xdr:row>7</xdr:row>
      <xdr:rowOff>121025</xdr:rowOff>
    </xdr:from>
    <xdr:to>
      <xdr:col>13</xdr:col>
      <xdr:colOff>367553</xdr:colOff>
      <xdr:row>10</xdr:row>
      <xdr:rowOff>13448</xdr:rowOff>
    </xdr:to>
    <xdr:sp macro="" textlink="">
      <xdr:nvSpPr>
        <xdr:cNvPr id="58" name="Rectangle: Rounded Corners 57">
          <a:extLst>
            <a:ext uri="{FF2B5EF4-FFF2-40B4-BE49-F238E27FC236}">
              <a16:creationId xmlns:a16="http://schemas.microsoft.com/office/drawing/2014/main" id="{686E4405-761C-14E0-672C-F572925CE403}"/>
            </a:ext>
          </a:extLst>
        </xdr:cNvPr>
        <xdr:cNvSpPr/>
      </xdr:nvSpPr>
      <xdr:spPr>
        <a:xfrm>
          <a:off x="7507942" y="1407460"/>
          <a:ext cx="784411" cy="443753"/>
        </a:xfrm>
        <a:prstGeom prst="roundRect">
          <a:avLst/>
        </a:prstGeom>
        <a:solidFill>
          <a:srgbClr val="F7994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255492</xdr:colOff>
      <xdr:row>7</xdr:row>
      <xdr:rowOff>44823</xdr:rowOff>
    </xdr:from>
    <xdr:to>
      <xdr:col>13</xdr:col>
      <xdr:colOff>340657</xdr:colOff>
      <xdr:row>10</xdr:row>
      <xdr:rowOff>147916</xdr:rowOff>
    </xdr:to>
    <xdr:sp macro="" textlink="Sheet7!B4">
      <xdr:nvSpPr>
        <xdr:cNvPr id="54" name="TextBox 53">
          <a:extLst>
            <a:ext uri="{FF2B5EF4-FFF2-40B4-BE49-F238E27FC236}">
              <a16:creationId xmlns:a16="http://schemas.microsoft.com/office/drawing/2014/main" id="{E28D0F3E-0373-433F-9DD7-2AF5E7FF2033}"/>
            </a:ext>
          </a:extLst>
        </xdr:cNvPr>
        <xdr:cNvSpPr txBox="1"/>
      </xdr:nvSpPr>
      <xdr:spPr>
        <a:xfrm>
          <a:off x="7570692" y="1331258"/>
          <a:ext cx="694765" cy="654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F77CF2E-DD2F-4AB2-BE50-37B5C9464618}" type="TxLink">
            <a:rPr lang="en-US" sz="2800" b="0" i="0" u="none" strike="noStrike">
              <a:ln>
                <a:noFill/>
              </a:ln>
              <a:solidFill>
                <a:srgbClr val="381A02"/>
              </a:solidFill>
              <a:latin typeface="Arial Black" panose="020B0A04020102020204" pitchFamily="34" charset="0"/>
              <a:ea typeface="Calibri"/>
              <a:cs typeface="Calibri"/>
            </a:rPr>
            <a:pPr/>
            <a:t>93</a:t>
          </a:fld>
          <a:endParaRPr lang="en-US" sz="1800">
            <a:ln>
              <a:noFill/>
            </a:ln>
            <a:solidFill>
              <a:srgbClr val="381A02"/>
            </a:solidFill>
            <a:latin typeface="Arial Black" panose="020B0A04020102020204" pitchFamily="34" charset="0"/>
          </a:endParaRPr>
        </a:p>
      </xdr:txBody>
    </xdr:sp>
    <xdr:clientData/>
  </xdr:twoCellAnchor>
  <xdr:twoCellAnchor>
    <xdr:from>
      <xdr:col>0</xdr:col>
      <xdr:colOff>92448</xdr:colOff>
      <xdr:row>2</xdr:row>
      <xdr:rowOff>174813</xdr:rowOff>
    </xdr:from>
    <xdr:to>
      <xdr:col>1</xdr:col>
      <xdr:colOff>394447</xdr:colOff>
      <xdr:row>4</xdr:row>
      <xdr:rowOff>94130</xdr:rowOff>
    </xdr:to>
    <xdr:sp macro="" textlink="">
      <xdr:nvSpPr>
        <xdr:cNvPr id="60" name="TextBox 59">
          <a:extLst>
            <a:ext uri="{FF2B5EF4-FFF2-40B4-BE49-F238E27FC236}">
              <a16:creationId xmlns:a16="http://schemas.microsoft.com/office/drawing/2014/main" id="{99756D8A-F75F-4E92-AB05-C4BF0C7342EF}"/>
            </a:ext>
          </a:extLst>
        </xdr:cNvPr>
        <xdr:cNvSpPr txBox="1"/>
      </xdr:nvSpPr>
      <xdr:spPr>
        <a:xfrm>
          <a:off x="92448" y="542366"/>
          <a:ext cx="911599"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50" cap="all">
              <a:ln>
                <a:noFill/>
              </a:ln>
              <a:solidFill>
                <a:schemeClr val="bg1"/>
              </a:solidFill>
              <a:latin typeface="Bodoni MT" panose="02070603080606020203" pitchFamily="18" charset="0"/>
            </a:rPr>
            <a:t>Months</a:t>
          </a:r>
        </a:p>
      </xdr:txBody>
    </xdr:sp>
    <xdr:clientData/>
  </xdr:twoCellAnchor>
  <xdr:twoCellAnchor>
    <xdr:from>
      <xdr:col>9</xdr:col>
      <xdr:colOff>116541</xdr:colOff>
      <xdr:row>10</xdr:row>
      <xdr:rowOff>179294</xdr:rowOff>
    </xdr:from>
    <xdr:to>
      <xdr:col>11</xdr:col>
      <xdr:colOff>129989</xdr:colOff>
      <xdr:row>20</xdr:row>
      <xdr:rowOff>112059</xdr:rowOff>
    </xdr:to>
    <xdr:sp macro="" textlink="">
      <xdr:nvSpPr>
        <xdr:cNvPr id="61" name="Rectangle: Rounded Corners 60">
          <a:extLst>
            <a:ext uri="{FF2B5EF4-FFF2-40B4-BE49-F238E27FC236}">
              <a16:creationId xmlns:a16="http://schemas.microsoft.com/office/drawing/2014/main" id="{D9C9456D-C816-4BA2-70D7-3D85157FEC5F}"/>
            </a:ext>
          </a:extLst>
        </xdr:cNvPr>
        <xdr:cNvSpPr/>
      </xdr:nvSpPr>
      <xdr:spPr>
        <a:xfrm>
          <a:off x="5602941" y="2017059"/>
          <a:ext cx="1232648" cy="1770529"/>
        </a:xfrm>
        <a:prstGeom prst="roundRect">
          <a:avLst/>
        </a:prstGeom>
        <a:gradFill>
          <a:gsLst>
            <a:gs pos="0">
              <a:srgbClr val="F57E1B"/>
            </a:gs>
            <a:gs pos="69000">
              <a:srgbClr val="A54C03"/>
            </a:gs>
          </a:gsLst>
          <a:lin ang="19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580815</xdr:colOff>
      <xdr:row>12</xdr:row>
      <xdr:rowOff>10379</xdr:rowOff>
    </xdr:from>
    <xdr:to>
      <xdr:col>11</xdr:col>
      <xdr:colOff>28074</xdr:colOff>
      <xdr:row>18</xdr:row>
      <xdr:rowOff>100263</xdr:rowOff>
    </xdr:to>
    <xdr:graphicFrame macro="">
      <xdr:nvGraphicFramePr>
        <xdr:cNvPr id="62" name="Chart 61">
          <a:extLst>
            <a:ext uri="{FF2B5EF4-FFF2-40B4-BE49-F238E27FC236}">
              <a16:creationId xmlns:a16="http://schemas.microsoft.com/office/drawing/2014/main" id="{EF1B7D56-C525-4E8F-8980-74C00D8C81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80681</xdr:colOff>
      <xdr:row>11</xdr:row>
      <xdr:rowOff>49305</xdr:rowOff>
    </xdr:from>
    <xdr:to>
      <xdr:col>11</xdr:col>
      <xdr:colOff>125506</xdr:colOff>
      <xdr:row>14</xdr:row>
      <xdr:rowOff>98611</xdr:rowOff>
    </xdr:to>
    <xdr:sp macro="" textlink="">
      <xdr:nvSpPr>
        <xdr:cNvPr id="63" name="TextBox 62">
          <a:extLst>
            <a:ext uri="{FF2B5EF4-FFF2-40B4-BE49-F238E27FC236}">
              <a16:creationId xmlns:a16="http://schemas.microsoft.com/office/drawing/2014/main" id="{4493B347-C291-4757-8AFC-32DBF6518A96}"/>
            </a:ext>
          </a:extLst>
        </xdr:cNvPr>
        <xdr:cNvSpPr txBox="1"/>
      </xdr:nvSpPr>
      <xdr:spPr>
        <a:xfrm>
          <a:off x="5567081" y="2070846"/>
          <a:ext cx="1264025" cy="600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aseline="0">
              <a:solidFill>
                <a:schemeClr val="bg1"/>
              </a:solidFill>
              <a:latin typeface="Bodoni MT" panose="02070603080606020203" pitchFamily="18" charset="0"/>
            </a:rPr>
            <a:t>ACCOUNTS STATUS</a:t>
          </a:r>
        </a:p>
        <a:p>
          <a:r>
            <a:rPr lang="en-US" sz="900" baseline="0">
              <a:solidFill>
                <a:schemeClr val="bg1"/>
              </a:solidFill>
              <a:latin typeface="Bodoni MT" panose="02070603080606020203" pitchFamily="18" charset="0"/>
            </a:rPr>
            <a:t>Active VS Inactive</a:t>
          </a:r>
        </a:p>
      </xdr:txBody>
    </xdr:sp>
    <xdr:clientData/>
  </xdr:twoCellAnchor>
  <xdr:twoCellAnchor>
    <xdr:from>
      <xdr:col>9</xdr:col>
      <xdr:colOff>148590</xdr:colOff>
      <xdr:row>17</xdr:row>
      <xdr:rowOff>132272</xdr:rowOff>
    </xdr:from>
    <xdr:to>
      <xdr:col>11</xdr:col>
      <xdr:colOff>97155</xdr:colOff>
      <xdr:row>18</xdr:row>
      <xdr:rowOff>114872</xdr:rowOff>
    </xdr:to>
    <xdr:sp macro="" textlink="">
      <xdr:nvSpPr>
        <xdr:cNvPr id="56" name="Rectangle: Rounded Corners 55">
          <a:extLst>
            <a:ext uri="{FF2B5EF4-FFF2-40B4-BE49-F238E27FC236}">
              <a16:creationId xmlns:a16="http://schemas.microsoft.com/office/drawing/2014/main" id="{03549B4A-E635-E8EE-4A8F-DF4B7732FE56}"/>
            </a:ext>
          </a:extLst>
        </xdr:cNvPr>
        <xdr:cNvSpPr/>
      </xdr:nvSpPr>
      <xdr:spPr>
        <a:xfrm>
          <a:off x="5634990" y="3260785"/>
          <a:ext cx="1167765" cy="166630"/>
        </a:xfrm>
        <a:prstGeom prst="roundRect">
          <a:avLst/>
        </a:prstGeom>
        <a:solidFill>
          <a:srgbClr val="68310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146685</xdr:colOff>
      <xdr:row>18</xdr:row>
      <xdr:rowOff>161027</xdr:rowOff>
    </xdr:from>
    <xdr:to>
      <xdr:col>11</xdr:col>
      <xdr:colOff>99061</xdr:colOff>
      <xdr:row>19</xdr:row>
      <xdr:rowOff>143771</xdr:rowOff>
    </xdr:to>
    <xdr:sp macro="" textlink="">
      <xdr:nvSpPr>
        <xdr:cNvPr id="57" name="Rectangle: Rounded Corners 56">
          <a:extLst>
            <a:ext uri="{FF2B5EF4-FFF2-40B4-BE49-F238E27FC236}">
              <a16:creationId xmlns:a16="http://schemas.microsoft.com/office/drawing/2014/main" id="{BB2C9C11-F586-6029-25B5-8225F0D5D6D6}"/>
            </a:ext>
          </a:extLst>
        </xdr:cNvPr>
        <xdr:cNvSpPr/>
      </xdr:nvSpPr>
      <xdr:spPr>
        <a:xfrm>
          <a:off x="5633085" y="3473570"/>
          <a:ext cx="1171576" cy="166775"/>
        </a:xfrm>
        <a:prstGeom prst="roundRect">
          <a:avLst/>
        </a:prstGeom>
        <a:solidFill>
          <a:srgbClr val="68310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91725</xdr:colOff>
      <xdr:row>17</xdr:row>
      <xdr:rowOff>131665</xdr:rowOff>
    </xdr:from>
    <xdr:to>
      <xdr:col>10</xdr:col>
      <xdr:colOff>566469</xdr:colOff>
      <xdr:row>18</xdr:row>
      <xdr:rowOff>179792</xdr:rowOff>
    </xdr:to>
    <xdr:sp macro="" textlink="">
      <xdr:nvSpPr>
        <xdr:cNvPr id="52" name="TextBox 51">
          <a:extLst>
            <a:ext uri="{FF2B5EF4-FFF2-40B4-BE49-F238E27FC236}">
              <a16:creationId xmlns:a16="http://schemas.microsoft.com/office/drawing/2014/main" id="{9CC54DF5-1E75-43AD-967E-7DE5D67880B0}"/>
            </a:ext>
          </a:extLst>
        </xdr:cNvPr>
        <xdr:cNvSpPr txBox="1"/>
      </xdr:nvSpPr>
      <xdr:spPr>
        <a:xfrm>
          <a:off x="5578125" y="3260178"/>
          <a:ext cx="1084344" cy="2321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700" baseline="0">
              <a:solidFill>
                <a:schemeClr val="bg1"/>
              </a:solidFill>
              <a:latin typeface="Aguarita Demo" pitchFamily="2" charset="0"/>
            </a:rPr>
            <a:t>ACTIVE ACCOUNTS: </a:t>
          </a:r>
        </a:p>
      </xdr:txBody>
    </xdr:sp>
    <xdr:clientData/>
  </xdr:twoCellAnchor>
  <xdr:twoCellAnchor>
    <xdr:from>
      <xdr:col>10</xdr:col>
      <xdr:colOff>421510</xdr:colOff>
      <xdr:row>17</xdr:row>
      <xdr:rowOff>114088</xdr:rowOff>
    </xdr:from>
    <xdr:to>
      <xdr:col>11</xdr:col>
      <xdr:colOff>282559</xdr:colOff>
      <xdr:row>20</xdr:row>
      <xdr:rowOff>163395</xdr:rowOff>
    </xdr:to>
    <xdr:sp macro="" textlink="Sheet8!B5">
      <xdr:nvSpPr>
        <xdr:cNvPr id="55" name="TextBox 54">
          <a:extLst>
            <a:ext uri="{FF2B5EF4-FFF2-40B4-BE49-F238E27FC236}">
              <a16:creationId xmlns:a16="http://schemas.microsoft.com/office/drawing/2014/main" id="{65AEEB33-6B0C-4C1B-85F8-890F9A7D8EE6}"/>
            </a:ext>
          </a:extLst>
        </xdr:cNvPr>
        <xdr:cNvSpPr txBox="1"/>
      </xdr:nvSpPr>
      <xdr:spPr>
        <a:xfrm>
          <a:off x="6517510" y="3242601"/>
          <a:ext cx="470649" cy="6013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7F502F8-95FC-4688-AC9F-EB3933371209}" type="TxLink">
            <a:rPr lang="en-US" sz="900" b="0" i="0" u="none" strike="noStrike" baseline="0">
              <a:solidFill>
                <a:schemeClr val="bg1"/>
              </a:solidFill>
              <a:latin typeface="Aguarita Demo" pitchFamily="2" charset="0"/>
              <a:ea typeface="Calibri"/>
              <a:cs typeface="Calibri"/>
            </a:rPr>
            <a:pPr/>
            <a:t>49</a:t>
          </a:fld>
          <a:endParaRPr lang="en-US" sz="600" baseline="0">
            <a:solidFill>
              <a:schemeClr val="bg1"/>
            </a:solidFill>
            <a:latin typeface="Aguarita Demo" pitchFamily="2" charset="0"/>
          </a:endParaRPr>
        </a:p>
      </xdr:txBody>
    </xdr:sp>
    <xdr:clientData/>
  </xdr:twoCellAnchor>
  <xdr:twoCellAnchor>
    <xdr:from>
      <xdr:col>9</xdr:col>
      <xdr:colOff>94926</xdr:colOff>
      <xdr:row>18</xdr:row>
      <xdr:rowOff>166778</xdr:rowOff>
    </xdr:from>
    <xdr:to>
      <xdr:col>10</xdr:col>
      <xdr:colOff>569670</xdr:colOff>
      <xdr:row>20</xdr:row>
      <xdr:rowOff>30874</xdr:rowOff>
    </xdr:to>
    <xdr:sp macro="" textlink="">
      <xdr:nvSpPr>
        <xdr:cNvPr id="59" name="TextBox 58">
          <a:extLst>
            <a:ext uri="{FF2B5EF4-FFF2-40B4-BE49-F238E27FC236}">
              <a16:creationId xmlns:a16="http://schemas.microsoft.com/office/drawing/2014/main" id="{DB387173-3728-4278-A45C-3A56A999C665}"/>
            </a:ext>
          </a:extLst>
        </xdr:cNvPr>
        <xdr:cNvSpPr txBox="1"/>
      </xdr:nvSpPr>
      <xdr:spPr>
        <a:xfrm>
          <a:off x="5581326" y="3479321"/>
          <a:ext cx="1084344" cy="2321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700" baseline="0">
              <a:solidFill>
                <a:schemeClr val="bg1"/>
              </a:solidFill>
              <a:latin typeface="Aguarita Demo" pitchFamily="2" charset="0"/>
            </a:rPr>
            <a:t>INACTIVE ACCOUNTS: </a:t>
          </a:r>
        </a:p>
      </xdr:txBody>
    </xdr:sp>
    <xdr:clientData/>
  </xdr:twoCellAnchor>
  <xdr:twoCellAnchor>
    <xdr:from>
      <xdr:col>10</xdr:col>
      <xdr:colOff>419819</xdr:colOff>
      <xdr:row>18</xdr:row>
      <xdr:rowOff>143773</xdr:rowOff>
    </xdr:from>
    <xdr:to>
      <xdr:col>11</xdr:col>
      <xdr:colOff>280868</xdr:colOff>
      <xdr:row>20</xdr:row>
      <xdr:rowOff>166776</xdr:rowOff>
    </xdr:to>
    <xdr:sp macro="" textlink="Sheet8!B6">
      <xdr:nvSpPr>
        <xdr:cNvPr id="64" name="TextBox 63">
          <a:extLst>
            <a:ext uri="{FF2B5EF4-FFF2-40B4-BE49-F238E27FC236}">
              <a16:creationId xmlns:a16="http://schemas.microsoft.com/office/drawing/2014/main" id="{7DF186F3-0EF3-406F-A59D-BF9B20F312E9}"/>
            </a:ext>
          </a:extLst>
        </xdr:cNvPr>
        <xdr:cNvSpPr txBox="1"/>
      </xdr:nvSpPr>
      <xdr:spPr>
        <a:xfrm>
          <a:off x="6515819" y="3456316"/>
          <a:ext cx="470649" cy="391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908F004-7749-4514-99D1-E0A0080AC5A6}" type="TxLink">
            <a:rPr lang="en-US" sz="900" b="0" i="0" u="none" strike="noStrike" baseline="0">
              <a:solidFill>
                <a:schemeClr val="bg1"/>
              </a:solidFill>
              <a:latin typeface="Aguarita Demo" pitchFamily="2" charset="0"/>
              <a:ea typeface="Calibri"/>
              <a:cs typeface="Calibri"/>
            </a:rPr>
            <a:pPr/>
            <a:t>44</a:t>
          </a:fld>
          <a:endParaRPr lang="en-US" sz="200" baseline="0">
            <a:solidFill>
              <a:schemeClr val="bg1"/>
            </a:solidFill>
            <a:latin typeface="Aguarita Demo" pitchFamily="2" charset="0"/>
          </a:endParaRPr>
        </a:p>
      </xdr:txBody>
    </xdr:sp>
    <xdr:clientData/>
  </xdr:twoCellAnchor>
  <xdr:twoCellAnchor>
    <xdr:from>
      <xdr:col>11</xdr:col>
      <xdr:colOff>197225</xdr:colOff>
      <xdr:row>10</xdr:row>
      <xdr:rowOff>170328</xdr:rowOff>
    </xdr:from>
    <xdr:to>
      <xdr:col>13</xdr:col>
      <xdr:colOff>510989</xdr:colOff>
      <xdr:row>20</xdr:row>
      <xdr:rowOff>121023</xdr:rowOff>
    </xdr:to>
    <xdr:sp macro="" textlink="">
      <xdr:nvSpPr>
        <xdr:cNvPr id="65" name="Rectangle: Rounded Corners 64">
          <a:extLst>
            <a:ext uri="{FF2B5EF4-FFF2-40B4-BE49-F238E27FC236}">
              <a16:creationId xmlns:a16="http://schemas.microsoft.com/office/drawing/2014/main" id="{FC8EF411-A8E3-D720-413C-18DC5A22327B}"/>
            </a:ext>
          </a:extLst>
        </xdr:cNvPr>
        <xdr:cNvSpPr/>
      </xdr:nvSpPr>
      <xdr:spPr>
        <a:xfrm>
          <a:off x="6902825" y="2008093"/>
          <a:ext cx="1532964" cy="1788459"/>
        </a:xfrm>
        <a:prstGeom prst="roundRect">
          <a:avLst/>
        </a:prstGeom>
        <a:solidFill>
          <a:srgbClr val="381A0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103093</xdr:colOff>
      <xdr:row>13</xdr:row>
      <xdr:rowOff>121024</xdr:rowOff>
    </xdr:from>
    <xdr:to>
      <xdr:col>13</xdr:col>
      <xdr:colOff>600635</xdr:colOff>
      <xdr:row>20</xdr:row>
      <xdr:rowOff>80681</xdr:rowOff>
    </xdr:to>
    <xdr:graphicFrame macro="">
      <xdr:nvGraphicFramePr>
        <xdr:cNvPr id="66" name="Chart 65">
          <a:extLst>
            <a:ext uri="{FF2B5EF4-FFF2-40B4-BE49-F238E27FC236}">
              <a16:creationId xmlns:a16="http://schemas.microsoft.com/office/drawing/2014/main" id="{579D39AE-6CA0-4424-AA1B-205A10DE72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224119</xdr:colOff>
      <xdr:row>11</xdr:row>
      <xdr:rowOff>13447</xdr:rowOff>
    </xdr:from>
    <xdr:to>
      <xdr:col>13</xdr:col>
      <xdr:colOff>466164</xdr:colOff>
      <xdr:row>13</xdr:row>
      <xdr:rowOff>80682</xdr:rowOff>
    </xdr:to>
    <xdr:sp macro="" textlink="">
      <xdr:nvSpPr>
        <xdr:cNvPr id="67" name="TextBox 66">
          <a:extLst>
            <a:ext uri="{FF2B5EF4-FFF2-40B4-BE49-F238E27FC236}">
              <a16:creationId xmlns:a16="http://schemas.microsoft.com/office/drawing/2014/main" id="{151218A3-F37D-4A8F-9808-4762B5E5B214}"/>
            </a:ext>
          </a:extLst>
        </xdr:cNvPr>
        <xdr:cNvSpPr txBox="1"/>
      </xdr:nvSpPr>
      <xdr:spPr>
        <a:xfrm>
          <a:off x="6929719" y="2034988"/>
          <a:ext cx="1461245" cy="4347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bg1"/>
              </a:solidFill>
              <a:latin typeface="Bodoni MT" panose="02070603080606020203" pitchFamily="18" charset="0"/>
            </a:rPr>
            <a:t>MONTHLY</a:t>
          </a:r>
          <a:r>
            <a:rPr lang="en-US" sz="900" baseline="0">
              <a:solidFill>
                <a:schemeClr val="bg1"/>
              </a:solidFill>
              <a:latin typeface="Bodoni MT" panose="02070603080606020203" pitchFamily="18" charset="0"/>
            </a:rPr>
            <a:t> TRANSACTION COUNT</a:t>
          </a:r>
          <a:endParaRPr lang="en-US" sz="900">
            <a:solidFill>
              <a:schemeClr val="bg1"/>
            </a:solidFill>
            <a:latin typeface="Bodoni MT" panose="02070603080606020203" pitchFamily="18"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13</xdr:col>
      <xdr:colOff>502920</xdr:colOff>
      <xdr:row>8</xdr:row>
      <xdr:rowOff>129540</xdr:rowOff>
    </xdr:from>
    <xdr:to>
      <xdr:col>16</xdr:col>
      <xdr:colOff>190500</xdr:colOff>
      <xdr:row>22</xdr:row>
      <xdr:rowOff>36195</xdr:rowOff>
    </xdr:to>
    <mc:AlternateContent xmlns:mc="http://schemas.openxmlformats.org/markup-compatibility/2006" xmlns:a14="http://schemas.microsoft.com/office/drawing/2010/main">
      <mc:Choice Requires="a14">
        <xdr:graphicFrame macro="">
          <xdr:nvGraphicFramePr>
            <xdr:cNvPr id="5" name="Month 4">
              <a:extLst>
                <a:ext uri="{FF2B5EF4-FFF2-40B4-BE49-F238E27FC236}">
                  <a16:creationId xmlns:a16="http://schemas.microsoft.com/office/drawing/2014/main" id="{75F07A16-3357-855D-C1E9-151C32B6674F}"/>
                </a:ext>
              </a:extLst>
            </xdr:cNvPr>
            <xdr:cNvGraphicFramePr/>
          </xdr:nvGraphicFramePr>
          <xdr:xfrm>
            <a:off x="0" y="0"/>
            <a:ext cx="0" cy="0"/>
          </xdr:xfrm>
          <a:graphic>
            <a:graphicData uri="http://schemas.microsoft.com/office/drawing/2010/slicer">
              <sle:slicer xmlns:sle="http://schemas.microsoft.com/office/drawing/2010/slicer" name="Month 4"/>
            </a:graphicData>
          </a:graphic>
        </xdr:graphicFrame>
      </mc:Choice>
      <mc:Fallback xmlns="">
        <xdr:sp macro="" textlink="">
          <xdr:nvSpPr>
            <xdr:cNvPr id="0" name=""/>
            <xdr:cNvSpPr>
              <a:spLocks noTextEdit="1"/>
            </xdr:cNvSpPr>
          </xdr:nvSpPr>
          <xdr:spPr>
            <a:xfrm>
              <a:off x="8321040" y="15925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426720</xdr:colOff>
      <xdr:row>13</xdr:row>
      <xdr:rowOff>76200</xdr:rowOff>
    </xdr:from>
    <xdr:to>
      <xdr:col>13</xdr:col>
      <xdr:colOff>198120</xdr:colOff>
      <xdr:row>28</xdr:row>
      <xdr:rowOff>76200</xdr:rowOff>
    </xdr:to>
    <xdr:graphicFrame macro="">
      <xdr:nvGraphicFramePr>
        <xdr:cNvPr id="2" name="Chart 1">
          <a:extLst>
            <a:ext uri="{FF2B5EF4-FFF2-40B4-BE49-F238E27FC236}">
              <a16:creationId xmlns:a16="http://schemas.microsoft.com/office/drawing/2014/main" id="{BD89B0D8-D8CB-DCE6-A369-99808149CD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388620</xdr:colOff>
      <xdr:row>12</xdr:row>
      <xdr:rowOff>60960</xdr:rowOff>
    </xdr:from>
    <xdr:to>
      <xdr:col>9</xdr:col>
      <xdr:colOff>99060</xdr:colOff>
      <xdr:row>27</xdr:row>
      <xdr:rowOff>60960</xdr:rowOff>
    </xdr:to>
    <xdr:graphicFrame macro="">
      <xdr:nvGraphicFramePr>
        <xdr:cNvPr id="4" name="Chart 3">
          <a:extLst>
            <a:ext uri="{FF2B5EF4-FFF2-40B4-BE49-F238E27FC236}">
              <a16:creationId xmlns:a16="http://schemas.microsoft.com/office/drawing/2014/main" id="{81767317-0FF6-1EAF-31CC-BDCFAA4058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342900</xdr:colOff>
      <xdr:row>14</xdr:row>
      <xdr:rowOff>106680</xdr:rowOff>
    </xdr:from>
    <xdr:to>
      <xdr:col>14</xdr:col>
      <xdr:colOff>472440</xdr:colOff>
      <xdr:row>28</xdr:row>
      <xdr:rowOff>13335</xdr:rowOff>
    </xdr:to>
    <mc:AlternateContent xmlns:mc="http://schemas.openxmlformats.org/markup-compatibility/2006" xmlns:a14="http://schemas.microsoft.com/office/drawing/2010/main">
      <mc:Choice Requires="a14">
        <xdr:graphicFrame macro="">
          <xdr:nvGraphicFramePr>
            <xdr:cNvPr id="6" name="Month 5">
              <a:extLst>
                <a:ext uri="{FF2B5EF4-FFF2-40B4-BE49-F238E27FC236}">
                  <a16:creationId xmlns:a16="http://schemas.microsoft.com/office/drawing/2014/main" id="{27938A7F-D6AD-B949-B36D-68FBA1A2E3AB}"/>
                </a:ext>
              </a:extLst>
            </xdr:cNvPr>
            <xdr:cNvGraphicFramePr/>
          </xdr:nvGraphicFramePr>
          <xdr:xfrm>
            <a:off x="0" y="0"/>
            <a:ext cx="0" cy="0"/>
          </xdr:xfrm>
          <a:graphic>
            <a:graphicData uri="http://schemas.microsoft.com/office/drawing/2010/slicer">
              <sle:slicer xmlns:sle="http://schemas.microsoft.com/office/drawing/2010/slicer" name="Month 5"/>
            </a:graphicData>
          </a:graphic>
        </xdr:graphicFrame>
      </mc:Choice>
      <mc:Fallback xmlns="">
        <xdr:sp macro="" textlink="">
          <xdr:nvSpPr>
            <xdr:cNvPr id="0" name=""/>
            <xdr:cNvSpPr>
              <a:spLocks noTextEdit="1"/>
            </xdr:cNvSpPr>
          </xdr:nvSpPr>
          <xdr:spPr>
            <a:xfrm>
              <a:off x="5021580" y="26670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3</xdr:col>
      <xdr:colOff>327660</xdr:colOff>
      <xdr:row>7</xdr:row>
      <xdr:rowOff>121920</xdr:rowOff>
    </xdr:from>
    <xdr:to>
      <xdr:col>11</xdr:col>
      <xdr:colOff>22860</xdr:colOff>
      <xdr:row>22</xdr:row>
      <xdr:rowOff>121920</xdr:rowOff>
    </xdr:to>
    <xdr:graphicFrame macro="">
      <xdr:nvGraphicFramePr>
        <xdr:cNvPr id="3" name="Chart 2">
          <a:extLst>
            <a:ext uri="{FF2B5EF4-FFF2-40B4-BE49-F238E27FC236}">
              <a16:creationId xmlns:a16="http://schemas.microsoft.com/office/drawing/2014/main" id="{9B22A288-53B6-29A7-52C8-071AE1A334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297180</xdr:colOff>
      <xdr:row>10</xdr:row>
      <xdr:rowOff>7620</xdr:rowOff>
    </xdr:from>
    <xdr:to>
      <xdr:col>16</xdr:col>
      <xdr:colOff>213360</xdr:colOff>
      <xdr:row>25</xdr:row>
      <xdr:rowOff>7620</xdr:rowOff>
    </xdr:to>
    <xdr:graphicFrame macro="">
      <xdr:nvGraphicFramePr>
        <xdr:cNvPr id="2" name="Chart 1">
          <a:extLst>
            <a:ext uri="{FF2B5EF4-FFF2-40B4-BE49-F238E27FC236}">
              <a16:creationId xmlns:a16="http://schemas.microsoft.com/office/drawing/2014/main" id="{8636C56A-F026-8ABD-AA2D-893BCE60E6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68580</xdr:colOff>
      <xdr:row>10</xdr:row>
      <xdr:rowOff>7620</xdr:rowOff>
    </xdr:from>
    <xdr:to>
      <xdr:col>10</xdr:col>
      <xdr:colOff>373380</xdr:colOff>
      <xdr:row>25</xdr:row>
      <xdr:rowOff>7620</xdr:rowOff>
    </xdr:to>
    <xdr:graphicFrame macro="">
      <xdr:nvGraphicFramePr>
        <xdr:cNvPr id="2" name="Chart 1">
          <a:extLst>
            <a:ext uri="{FF2B5EF4-FFF2-40B4-BE49-F238E27FC236}">
              <a16:creationId xmlns:a16="http://schemas.microsoft.com/office/drawing/2014/main" id="{60B096EA-2A12-1F75-7B92-DC75BA0FAC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VY SHARMA" refreshedDate="46210.590816666663" createdVersion="8" refreshedVersion="8" minRefreshableVersion="3" recordCount="979" xr:uid="{7845038C-8E74-4414-B5F2-93F71CE12E11}">
  <cacheSource type="worksheet">
    <worksheetSource ref="A1:T980" sheet="FinancialData"/>
  </cacheSource>
  <cacheFields count="22">
    <cacheField name="Transaction ID" numFmtId="0">
      <sharedItems/>
    </cacheField>
    <cacheField name="Transaction Date" numFmtId="14">
      <sharedItems containsSemiMixedTypes="0" containsNonDate="0" containsDate="1" containsString="0" minDate="2025-01-01T00:00:00" maxDate="2026-01-01T00:00:00" count="342">
        <d v="2025-01-06T00:00:00"/>
        <d v="2025-06-21T00:00:00"/>
        <d v="2025-04-16T00:00:00"/>
        <d v="2025-02-03T00:00:00"/>
        <d v="2025-06-08T00:00:00"/>
        <d v="2025-08-26T00:00:00"/>
        <d v="2025-11-12T00:00:00"/>
        <d v="2025-07-14T00:00:00"/>
        <d v="2025-02-22T00:00:00"/>
        <d v="2025-12-13T00:00:00"/>
        <d v="2025-05-08T00:00:00"/>
        <d v="2025-05-25T00:00:00"/>
        <d v="2025-06-04T00:00:00"/>
        <d v="2025-12-16T00:00:00"/>
        <d v="2025-01-28T00:00:00"/>
        <d v="2025-11-22T00:00:00"/>
        <d v="2025-03-15T00:00:00"/>
        <d v="2025-08-15T00:00:00"/>
        <d v="2025-03-21T00:00:00"/>
        <d v="2025-01-08T00:00:00"/>
        <d v="2025-02-05T00:00:00"/>
        <d v="2025-06-12T00:00:00"/>
        <d v="2025-09-29T00:00:00"/>
        <d v="2025-09-09T00:00:00"/>
        <d v="2025-05-01T00:00:00"/>
        <d v="2025-08-29T00:00:00"/>
        <d v="2025-05-30T00:00:00"/>
        <d v="2025-10-12T00:00:00"/>
        <d v="2025-12-08T00:00:00"/>
        <d v="2025-07-21T00:00:00"/>
        <d v="2025-01-30T00:00:00"/>
        <d v="2025-08-14T00:00:00"/>
        <d v="2025-07-09T00:00:00"/>
        <d v="2025-01-02T00:00:00"/>
        <d v="2025-11-04T00:00:00"/>
        <d v="2025-07-22T00:00:00"/>
        <d v="2025-01-18T00:00:00"/>
        <d v="2025-02-15T00:00:00"/>
        <d v="2025-08-01T00:00:00"/>
        <d v="2025-10-28T00:00:00"/>
        <d v="2025-09-22T00:00:00"/>
        <d v="2025-06-17T00:00:00"/>
        <d v="2025-10-08T00:00:00"/>
        <d v="2025-05-02T00:00:00"/>
        <d v="2025-03-18T00:00:00"/>
        <d v="2025-01-05T00:00:00"/>
        <d v="2025-05-15T00:00:00"/>
        <d v="2025-05-19T00:00:00"/>
        <d v="2025-02-24T00:00:00"/>
        <d v="2025-01-29T00:00:00"/>
        <d v="2025-03-04T00:00:00"/>
        <d v="2025-10-22T00:00:00"/>
        <d v="2025-10-13T00:00:00"/>
        <d v="2025-08-24T00:00:00"/>
        <d v="2025-12-31T00:00:00"/>
        <d v="2025-11-25T00:00:00"/>
        <d v="2025-04-11T00:00:00"/>
        <d v="2025-04-07T00:00:00"/>
        <d v="2025-10-03T00:00:00"/>
        <d v="2025-09-28T00:00:00"/>
        <d v="2025-07-19T00:00:00"/>
        <d v="2025-08-10T00:00:00"/>
        <d v="2025-08-18T00:00:00"/>
        <d v="2025-09-01T00:00:00"/>
        <d v="2025-02-18T00:00:00"/>
        <d v="2025-04-08T00:00:00"/>
        <d v="2025-08-11T00:00:00"/>
        <d v="2025-03-05T00:00:00"/>
        <d v="2025-03-31T00:00:00"/>
        <d v="2025-08-23T00:00:00"/>
        <d v="2025-07-28T00:00:00"/>
        <d v="2025-03-03T00:00:00"/>
        <d v="2025-07-24T00:00:00"/>
        <d v="2025-07-13T00:00:00"/>
        <d v="2025-05-29T00:00:00"/>
        <d v="2025-05-28T00:00:00"/>
        <d v="2025-12-11T00:00:00"/>
        <d v="2025-06-30T00:00:00"/>
        <d v="2025-08-03T00:00:00"/>
        <d v="2025-01-09T00:00:00"/>
        <d v="2025-01-24T00:00:00"/>
        <d v="2025-08-19T00:00:00"/>
        <d v="2025-02-26T00:00:00"/>
        <d v="2025-10-17T00:00:00"/>
        <d v="2025-03-07T00:00:00"/>
        <d v="2025-08-31T00:00:00"/>
        <d v="2025-01-16T00:00:00"/>
        <d v="2025-02-21T00:00:00"/>
        <d v="2025-12-06T00:00:00"/>
        <d v="2025-09-17T00:00:00"/>
        <d v="2025-01-11T00:00:00"/>
        <d v="2025-04-05T00:00:00"/>
        <d v="2025-11-09T00:00:00"/>
        <d v="2025-07-18T00:00:00"/>
        <d v="2025-12-15T00:00:00"/>
        <d v="2025-08-28T00:00:00"/>
        <d v="2025-09-03T00:00:00"/>
        <d v="2025-11-01T00:00:00"/>
        <d v="2025-06-02T00:00:00"/>
        <d v="2025-04-04T00:00:00"/>
        <d v="2025-05-09T00:00:00"/>
        <d v="2025-11-19T00:00:00"/>
        <d v="2025-07-06T00:00:00"/>
        <d v="2025-05-26T00:00:00"/>
        <d v="2025-09-27T00:00:00"/>
        <d v="2025-04-12T00:00:00"/>
        <d v="2025-07-11T00:00:00"/>
        <d v="2025-10-29T00:00:00"/>
        <d v="2025-04-28T00:00:00"/>
        <d v="2025-05-11T00:00:00"/>
        <d v="2025-06-13T00:00:00"/>
        <d v="2025-01-27T00:00:00"/>
        <d v="2025-09-04T00:00:00"/>
        <d v="2025-06-24T00:00:00"/>
        <d v="2025-06-26T00:00:00"/>
        <d v="2025-08-04T00:00:00"/>
        <d v="2025-06-25T00:00:00"/>
        <d v="2025-03-16T00:00:00"/>
        <d v="2025-05-21T00:00:00"/>
        <d v="2025-06-01T00:00:00"/>
        <d v="2025-07-31T00:00:00"/>
        <d v="2025-09-14T00:00:00"/>
        <d v="2025-09-05T00:00:00"/>
        <d v="2025-08-08T00:00:00"/>
        <d v="2025-03-23T00:00:00"/>
        <d v="2025-11-06T00:00:00"/>
        <d v="2025-09-02T00:00:00"/>
        <d v="2025-03-08T00:00:00"/>
        <d v="2025-03-19T00:00:00"/>
        <d v="2025-07-29T00:00:00"/>
        <d v="2025-12-01T00:00:00"/>
        <d v="2025-05-06T00:00:00"/>
        <d v="2025-11-30T00:00:00"/>
        <d v="2025-05-22T00:00:00"/>
        <d v="2025-08-12T00:00:00"/>
        <d v="2025-01-10T00:00:00"/>
        <d v="2025-10-14T00:00:00"/>
        <d v="2025-11-02T00:00:00"/>
        <d v="2025-06-20T00:00:00"/>
        <d v="2025-02-11T00:00:00"/>
        <d v="2025-06-03T00:00:00"/>
        <d v="2025-01-13T00:00:00"/>
        <d v="2025-03-22T00:00:00"/>
        <d v="2025-11-28T00:00:00"/>
        <d v="2025-01-20T00:00:00"/>
        <d v="2025-04-01T00:00:00"/>
        <d v="2025-12-22T00:00:00"/>
        <d v="2025-06-06T00:00:00"/>
        <d v="2025-12-24T00:00:00"/>
        <d v="2025-08-17T00:00:00"/>
        <d v="2025-04-17T00:00:00"/>
        <d v="2025-11-16T00:00:00"/>
        <d v="2025-02-01T00:00:00"/>
        <d v="2025-11-29T00:00:00"/>
        <d v="2025-02-02T00:00:00"/>
        <d v="2025-01-12T00:00:00"/>
        <d v="2025-07-20T00:00:00"/>
        <d v="2025-12-02T00:00:00"/>
        <d v="2025-04-26T00:00:00"/>
        <d v="2025-11-10T00:00:00"/>
        <d v="2025-04-10T00:00:00"/>
        <d v="2025-03-17T00:00:00"/>
        <d v="2025-04-22T00:00:00"/>
        <d v="2025-02-08T00:00:00"/>
        <d v="2025-10-06T00:00:00"/>
        <d v="2025-04-14T00:00:00"/>
        <d v="2025-09-20T00:00:00"/>
        <d v="2025-04-02T00:00:00"/>
        <d v="2025-07-08T00:00:00"/>
        <d v="2025-04-24T00:00:00"/>
        <d v="2025-03-27T00:00:00"/>
        <d v="2025-03-01T00:00:00"/>
        <d v="2025-07-17T00:00:00"/>
        <d v="2025-09-12T00:00:00"/>
        <d v="2025-11-05T00:00:00"/>
        <d v="2025-06-09T00:00:00"/>
        <d v="2025-11-21T00:00:00"/>
        <d v="2025-06-18T00:00:00"/>
        <d v="2025-01-07T00:00:00"/>
        <d v="2025-11-26T00:00:00"/>
        <d v="2025-12-20T00:00:00"/>
        <d v="2025-12-23T00:00:00"/>
        <d v="2025-10-01T00:00:00"/>
        <d v="2025-08-25T00:00:00"/>
        <d v="2025-05-27T00:00:00"/>
        <d v="2025-10-02T00:00:00"/>
        <d v="2025-04-13T00:00:00"/>
        <d v="2025-09-21T00:00:00"/>
        <d v="2025-11-15T00:00:00"/>
        <d v="2025-05-23T00:00:00"/>
        <d v="2025-02-23T00:00:00"/>
        <d v="2025-03-10T00:00:00"/>
        <d v="2025-08-30T00:00:00"/>
        <d v="2025-02-13T00:00:00"/>
        <d v="2025-03-11T00:00:00"/>
        <d v="2025-01-23T00:00:00"/>
        <d v="2025-09-08T00:00:00"/>
        <d v="2025-12-10T00:00:00"/>
        <d v="2025-05-14T00:00:00"/>
        <d v="2025-05-07T00:00:00"/>
        <d v="2025-11-11T00:00:00"/>
        <d v="2025-09-06T00:00:00"/>
        <d v="2025-07-15T00:00:00"/>
        <d v="2025-02-06T00:00:00"/>
        <d v="2025-05-18T00:00:00"/>
        <d v="2025-02-19T00:00:00"/>
        <d v="2025-05-10T00:00:00"/>
        <d v="2025-03-20T00:00:00"/>
        <d v="2025-04-27T00:00:00"/>
        <d v="2025-06-10T00:00:00"/>
        <d v="2025-12-28T00:00:00"/>
        <d v="2025-04-20T00:00:00"/>
        <d v="2025-01-19T00:00:00"/>
        <d v="2025-02-25T00:00:00"/>
        <d v="2025-10-18T00:00:00"/>
        <d v="2025-08-27T00:00:00"/>
        <d v="2025-03-02T00:00:00"/>
        <d v="2025-01-17T00:00:00"/>
        <d v="2025-10-11T00:00:00"/>
        <d v="2025-12-04T00:00:00"/>
        <d v="2025-02-12T00:00:00"/>
        <d v="2025-06-27T00:00:00"/>
        <d v="2025-03-12T00:00:00"/>
        <d v="2025-06-28T00:00:00"/>
        <d v="2025-02-04T00:00:00"/>
        <d v="2025-10-30T00:00:00"/>
        <d v="2025-05-04T00:00:00"/>
        <d v="2025-09-23T00:00:00"/>
        <d v="2025-04-19T00:00:00"/>
        <d v="2025-06-14T00:00:00"/>
        <d v="2025-05-17T00:00:00"/>
        <d v="2025-07-05T00:00:00"/>
        <d v="2025-07-03T00:00:00"/>
        <d v="2025-02-27T00:00:00"/>
        <d v="2025-04-06T00:00:00"/>
        <d v="2025-10-09T00:00:00"/>
        <d v="2025-04-30T00:00:00"/>
        <d v="2025-01-31T00:00:00"/>
        <d v="2025-11-03T00:00:00"/>
        <d v="2025-10-05T00:00:00"/>
        <d v="2025-07-25T00:00:00"/>
        <d v="2025-04-25T00:00:00"/>
        <d v="2025-03-09T00:00:00"/>
        <d v="2025-12-14T00:00:00"/>
        <d v="2025-01-25T00:00:00"/>
        <d v="2025-01-26T00:00:00"/>
        <d v="2025-09-16T00:00:00"/>
        <d v="2025-08-02T00:00:00"/>
        <d v="2025-05-31T00:00:00"/>
        <d v="2025-12-07T00:00:00"/>
        <d v="2025-12-25T00:00:00"/>
        <d v="2025-02-28T00:00:00"/>
        <d v="2025-11-18T00:00:00"/>
        <d v="2025-05-12T00:00:00"/>
        <d v="2025-03-14T00:00:00"/>
        <d v="2025-12-18T00:00:00"/>
        <d v="2025-07-26T00:00:00"/>
        <d v="2025-03-13T00:00:00"/>
        <d v="2025-04-21T00:00:00"/>
        <d v="2025-06-05T00:00:00"/>
        <d v="2025-06-29T00:00:00"/>
        <d v="2025-09-18T00:00:00"/>
        <d v="2025-10-23T00:00:00"/>
        <d v="2025-05-13T00:00:00"/>
        <d v="2025-07-16T00:00:00"/>
        <d v="2025-02-16T00:00:00"/>
        <d v="2025-07-12T00:00:00"/>
        <d v="2025-03-24T00:00:00"/>
        <d v="2025-12-27T00:00:00"/>
        <d v="2025-11-23T00:00:00"/>
        <d v="2025-07-10T00:00:00"/>
        <d v="2025-12-03T00:00:00"/>
        <d v="2025-10-07T00:00:00"/>
        <d v="2025-12-05T00:00:00"/>
        <d v="2025-09-11T00:00:00"/>
        <d v="2025-08-20T00:00:00"/>
        <d v="2025-10-24T00:00:00"/>
        <d v="2025-06-11T00:00:00"/>
        <d v="2025-01-01T00:00:00"/>
        <d v="2025-10-15T00:00:00"/>
        <d v="2025-11-20T00:00:00"/>
        <d v="2025-01-15T00:00:00"/>
        <d v="2025-08-22T00:00:00"/>
        <d v="2025-01-22T00:00:00"/>
        <d v="2025-04-03T00:00:00"/>
        <d v="2025-01-03T00:00:00"/>
        <d v="2025-01-21T00:00:00"/>
        <d v="2025-04-23T00:00:00"/>
        <d v="2025-06-19T00:00:00"/>
        <d v="2025-12-21T00:00:00"/>
        <d v="2025-08-06T00:00:00"/>
        <d v="2025-11-24T00:00:00"/>
        <d v="2025-10-10T00:00:00"/>
        <d v="2025-02-10T00:00:00"/>
        <d v="2025-09-10T00:00:00"/>
        <d v="2025-11-27T00:00:00"/>
        <d v="2025-10-04T00:00:00"/>
        <d v="2025-02-07T00:00:00"/>
        <d v="2025-09-24T00:00:00"/>
        <d v="2025-12-30T00:00:00"/>
        <d v="2025-02-20T00:00:00"/>
        <d v="2025-11-17T00:00:00"/>
        <d v="2025-09-26T00:00:00"/>
        <d v="2025-11-07T00:00:00"/>
        <d v="2025-10-26T00:00:00"/>
        <d v="2025-05-20T00:00:00"/>
        <d v="2025-07-07T00:00:00"/>
        <d v="2025-02-09T00:00:00"/>
        <d v="2025-01-14T00:00:00"/>
        <d v="2025-12-19T00:00:00"/>
        <d v="2025-09-25T00:00:00"/>
        <d v="2025-09-07T00:00:00"/>
        <d v="2025-10-16T00:00:00"/>
        <d v="2025-04-09T00:00:00"/>
        <d v="2025-11-08T00:00:00"/>
        <d v="2025-04-15T00:00:00"/>
        <d v="2025-03-26T00:00:00"/>
        <d v="2025-02-14T00:00:00"/>
        <d v="2025-08-09T00:00:00"/>
        <d v="2025-11-13T00:00:00"/>
        <d v="2025-10-20T00:00:00"/>
        <d v="2025-06-23T00:00:00"/>
        <d v="2025-07-30T00:00:00"/>
        <d v="2025-07-02T00:00:00"/>
        <d v="2025-06-07T00:00:00"/>
        <d v="2025-12-12T00:00:00"/>
        <d v="2025-03-25T00:00:00"/>
        <d v="2025-03-29T00:00:00"/>
        <d v="2025-08-07T00:00:00"/>
        <d v="2025-03-30T00:00:00"/>
        <d v="2025-03-28T00:00:00"/>
        <d v="2025-12-26T00:00:00"/>
        <d v="2025-12-29T00:00:00"/>
        <d v="2025-08-13T00:00:00"/>
        <d v="2025-05-16T00:00:00"/>
        <d v="2025-10-27T00:00:00"/>
        <d v="2025-11-14T00:00:00"/>
        <d v="2025-07-27T00:00:00"/>
        <d v="2025-10-31T00:00:00"/>
        <d v="2025-09-19T00:00:00"/>
        <d v="2025-10-25T00:00:00"/>
        <d v="2025-06-15T00:00:00"/>
      </sharedItems>
      <fieldGroup par="21"/>
    </cacheField>
    <cacheField name="Month" numFmtId="14">
      <sharedItems count="12">
        <s v="Jan"/>
        <s v="Jun"/>
        <s v="Apr"/>
        <s v="Feb"/>
        <s v="Aug"/>
        <s v="Nov"/>
        <s v="Jul"/>
        <s v="Dec"/>
        <s v="May"/>
        <s v="Mar"/>
        <s v="Sep"/>
        <s v="Oct"/>
      </sharedItems>
    </cacheField>
    <cacheField name="Customer ID" numFmtId="0">
      <sharedItems count="288">
        <s v="C1192"/>
        <s v="C1264"/>
        <s v="C1254"/>
        <s v="C1231"/>
        <s v="C1246"/>
        <s v="C1014"/>
        <s v="C1210"/>
        <s v="C1154"/>
        <s v="C1296"/>
        <s v="C1064"/>
        <s v="C1002"/>
        <s v="C1248"/>
        <s v="C1170"/>
        <s v="C1103"/>
        <s v="C1173"/>
        <s v="C1181"/>
        <s v="C1292"/>
        <s v="C1273"/>
        <s v="C1038"/>
        <s v="C1125"/>
        <s v="C1279"/>
        <s v="C1087"/>
        <s v="C1245"/>
        <s v="C1268"/>
        <s v="C1043"/>
        <s v="C1147"/>
        <s v="C1150"/>
        <s v="C1250"/>
        <s v="C1074"/>
        <s v="C1277"/>
        <s v="C1017"/>
        <s v="C1253"/>
        <s v="C1274"/>
        <s v="C1178"/>
        <s v="C1224"/>
        <s v="C1149"/>
        <s v="C1049"/>
        <s v="C1007"/>
        <s v="C1071"/>
        <s v="C1272"/>
        <s v="C1275"/>
        <s v="C1145"/>
        <s v="C1120"/>
        <s v="C1299"/>
        <s v="C1035"/>
        <s v="C1036"/>
        <s v="C1114"/>
        <s v="C1079"/>
        <s v="C1062"/>
        <s v="C1090"/>
        <s v="C1019"/>
        <s v="C1037"/>
        <s v="C1190"/>
        <s v="C1003"/>
        <s v="C1261"/>
        <s v="C1141"/>
        <s v="C1004"/>
        <s v="C1077"/>
        <s v="C1155"/>
        <s v="C1086"/>
        <s v="C1006"/>
        <s v="C1130"/>
        <s v="C1289"/>
        <s v="C1213"/>
        <s v="C1214"/>
        <s v="C1094"/>
        <s v="C1164"/>
        <s v="C1104"/>
        <s v="C1221"/>
        <s v="C1207"/>
        <s v="C1144"/>
        <s v="C1204"/>
        <s v="C1059"/>
        <s v="C1041"/>
        <s v="C1168"/>
        <s v="C1202"/>
        <s v="C1252"/>
        <s v="C1132"/>
        <s v="C1047"/>
        <s v="C1194"/>
        <s v="C1166"/>
        <s v="C1070"/>
        <s v="C1057"/>
        <s v="C1100"/>
        <s v="C1131"/>
        <s v="C1051"/>
        <s v="C1118"/>
        <s v="C1048"/>
        <s v="C1285"/>
        <s v="C1287"/>
        <s v="C1021"/>
        <s v="C1236"/>
        <s v="C1133"/>
        <s v="C1163"/>
        <s v="C1156"/>
        <s v="C1107"/>
        <s v="C1075"/>
        <s v="C1013"/>
        <s v="C1137"/>
        <s v="C1020"/>
        <s v="C1050"/>
        <s v="C1222"/>
        <s v="C1135"/>
        <s v="C1235"/>
        <s v="C1271"/>
        <s v="C1212"/>
        <s v="C1197"/>
        <s v="C1065"/>
        <s v="C1238"/>
        <s v="C1176"/>
        <s v="C1284"/>
        <s v="C1282"/>
        <s v="C1146"/>
        <s v="C1167"/>
        <s v="C1223"/>
        <s v="C1115"/>
        <s v="C1138"/>
        <s v="C1219"/>
        <s v="C1056"/>
        <s v="C1193"/>
        <s v="C1225"/>
        <s v="C1198"/>
        <s v="C1259"/>
        <s v="C1033"/>
        <s v="C1068"/>
        <s v="C1121"/>
        <s v="C1001"/>
        <s v="C1140"/>
        <s v="C1255"/>
        <s v="C1092"/>
        <s v="C1280"/>
        <s v="C1234"/>
        <s v="C1215"/>
        <s v="C1031"/>
        <s v="C1012"/>
        <s v="C1102"/>
        <s v="C1005"/>
        <s v="C1247"/>
        <s v="C1206"/>
        <s v="C1054"/>
        <s v="C1240"/>
        <s v="C1081"/>
        <s v="C1209"/>
        <s v="C1112"/>
        <s v="C1157"/>
        <s v="C1008"/>
        <s v="C1110"/>
        <s v="C1270"/>
        <s v="C1034"/>
        <s v="C1159"/>
        <s v="C1293"/>
        <s v="C1124"/>
        <s v="C1082"/>
        <s v="C1063"/>
        <s v="C1078"/>
        <s v="C1109"/>
        <s v="C1073"/>
        <s v="C1080"/>
        <s v="C1201"/>
        <s v="C1028"/>
        <s v="C1160"/>
        <s v="C1185"/>
        <s v="C1228"/>
        <s v="C1106"/>
        <s v="C1119"/>
        <s v="C1249"/>
        <s v="C1233"/>
        <s v="C1237"/>
        <s v="C1216"/>
        <s v="C1191"/>
        <s v="C1281"/>
        <s v="C1101"/>
        <s v="C1189"/>
        <s v="C1243"/>
        <s v="C1088"/>
        <s v="C1211"/>
        <s v="C1027"/>
        <s v="C1199"/>
        <s v="C1010"/>
        <s v="C1196"/>
        <s v="C1030"/>
        <s v="C1291"/>
        <s v="C1096"/>
        <s v="C1266"/>
        <s v="C1286"/>
        <s v="C1129"/>
        <s v="C1040"/>
        <s v="C1169"/>
        <s v="C1183"/>
        <s v="C1032"/>
        <s v="C1000"/>
        <s v="C1127"/>
        <s v="C1232"/>
        <s v="C1009"/>
        <s v="C1126"/>
        <s v="C1023"/>
        <s v="C1294"/>
        <s v="C1113"/>
        <s v="C1242"/>
        <s v="C1029"/>
        <s v="C1230"/>
        <s v="C1241"/>
        <s v="C1217"/>
        <s v="C1016"/>
        <s v="C1265"/>
        <s v="C1182"/>
        <s v="C1288"/>
        <s v="C1239"/>
        <s v="C1045"/>
        <s v="C1200"/>
        <s v="C1180"/>
        <s v="C1039"/>
        <s v="C1295"/>
        <s v="C1262"/>
        <s v="C1099"/>
        <s v="C1260"/>
        <s v="C1188"/>
        <s v="C1153"/>
        <s v="C1085"/>
        <s v="C1203"/>
        <s v="C1152"/>
        <s v="C1143"/>
        <s v="C1089"/>
        <s v="C1093"/>
        <s v="C1218"/>
        <s v="C1067"/>
        <s v="C1171"/>
        <s v="C1026"/>
        <s v="C1053"/>
        <s v="C1117"/>
        <s v="C1278"/>
        <s v="C1161"/>
        <s v="C1015"/>
        <s v="C1220"/>
        <s v="C1186"/>
        <s v="C1148"/>
        <s v="C1134"/>
        <s v="C1257"/>
        <s v="C1142"/>
        <s v="C1097"/>
        <s v="C1158"/>
        <s v="C1072"/>
        <s v="C1165"/>
        <s v="C1076"/>
        <s v="C1175"/>
        <s v="C1179"/>
        <s v="C1267"/>
        <s v="C1136"/>
        <s v="C1084"/>
        <s v="C1298"/>
        <s v="C1083"/>
        <s v="C1066"/>
        <s v="C1055"/>
        <s v="C1177"/>
        <s v="C1111"/>
        <s v="C1022"/>
        <s v="C1195"/>
        <s v="C1046"/>
        <s v="C1058"/>
        <s v="C1024"/>
        <s v="C1283"/>
        <s v="C1091"/>
        <s v="C1290"/>
        <s v="C1123"/>
        <s v="C1184"/>
        <s v="C1205"/>
        <s v="C1139"/>
        <s v="C1172"/>
        <s v="C1256"/>
        <s v="C1061"/>
        <s v="C1105"/>
        <s v="C1174"/>
        <s v="C1187"/>
        <s v="C1025"/>
        <s v="C1258"/>
        <s v="C1060"/>
        <s v="C1098"/>
        <s v="C1128"/>
        <s v="C1244"/>
        <s v="C1226"/>
        <s v="C1300"/>
        <s v="C1297"/>
        <s v="C1052"/>
        <s v="C1018"/>
        <s v="C1263"/>
        <s v="C1011"/>
        <s v="C1208"/>
        <s v="C1042"/>
      </sharedItems>
    </cacheField>
    <cacheField name="Branch" numFmtId="0">
      <sharedItems containsBlank="1" count="8">
        <s v="Delhi"/>
        <s v="Mumbai"/>
        <s v="Chennai"/>
        <s v="Pune"/>
        <s v="Bengaluru"/>
        <s v="Hyderabad"/>
        <s v="Unknown"/>
        <m u="1"/>
      </sharedItems>
    </cacheField>
    <cacheField name="State" numFmtId="0">
      <sharedItems/>
    </cacheField>
    <cacheField name="Account Type" numFmtId="0">
      <sharedItems count="4">
        <s v="Current"/>
        <s v="Salary"/>
        <s v="Business"/>
        <s v="Savings"/>
      </sharedItems>
    </cacheField>
    <cacheField name="Transaction Type" numFmtId="0">
      <sharedItems/>
    </cacheField>
    <cacheField name="Deposit Amount" numFmtId="0">
      <sharedItems containsSemiMixedTypes="0" containsString="0" containsNumber="1" containsInteger="1" minValue="0" maxValue="199734"/>
    </cacheField>
    <cacheField name="Withdrawal Amount" numFmtId="0">
      <sharedItems containsSemiMixedTypes="0" containsString="0" containsNumber="1" containsInteger="1" minValue="0" maxValue="99699"/>
    </cacheField>
    <cacheField name="Loan Amount" numFmtId="0">
      <sharedItems containsSemiMixedTypes="0" containsString="0" containsNumber="1" containsInteger="1" minValue="0" maxValue="1988300"/>
    </cacheField>
    <cacheField name="EMI Paid" numFmtId="0">
      <sharedItems containsSemiMixedTypes="0" containsString="0" containsNumber="1" containsInteger="1" minValue="0" maxValue="49752"/>
    </cacheField>
    <cacheField name="Interest Earned" numFmtId="0">
      <sharedItems containsSemiMixedTypes="0" containsString="0" containsNumber="1" minValue="0" maxValue="9971.61"/>
    </cacheField>
    <cacheField name="Credit Score" numFmtId="0">
      <sharedItems containsSemiMixedTypes="0" containsString="0" containsNumber="1" minValue="300" maxValue="900" count="494">
        <n v="840"/>
        <n v="794"/>
        <n v="305"/>
        <n v="715"/>
        <n v="492"/>
        <n v="622"/>
        <n v="790"/>
        <n v="814"/>
        <n v="568"/>
        <n v="498"/>
        <n v="313"/>
        <n v="856"/>
        <n v="674"/>
        <n v="746"/>
        <n v="723"/>
        <n v="687"/>
        <n v="408"/>
        <n v="565"/>
        <n v="734"/>
        <n v="784"/>
        <n v="536"/>
        <n v="765"/>
        <n v="766"/>
        <n v="875"/>
        <n v="556"/>
        <n v="618"/>
        <n v="816"/>
        <n v="695"/>
        <n v="370"/>
        <n v="353"/>
        <n v="657"/>
        <n v="719"/>
        <n v="315"/>
        <n v="497"/>
        <n v="579"/>
        <n v="681"/>
        <n v="333"/>
        <n v="520"/>
        <n v="607"/>
        <n v="538"/>
        <n v="515"/>
        <n v="656"/>
        <n v="405"/>
        <n v="832"/>
        <n v="392"/>
        <n v="827"/>
        <n v="575"/>
        <n v="611"/>
        <n v="691"/>
        <n v="301"/>
        <n v="590"/>
        <n v="779"/>
        <n v="572"/>
        <n v="460"/>
        <n v="716"/>
        <n v="685"/>
        <n v="860"/>
        <n v="640"/>
        <n v="374"/>
        <n v="338"/>
        <n v="422"/>
        <n v="337"/>
        <n v="484"/>
        <n v="592"/>
        <n v="470"/>
        <n v="585"/>
        <n v="750"/>
        <n v="376"/>
        <n v="430"/>
        <n v="845"/>
        <n v="456"/>
        <n v="683"/>
        <n v="474"/>
        <n v="387"/>
        <n v="433"/>
        <n v="754"/>
        <n v="416"/>
        <n v="314"/>
        <n v="594.5"/>
        <n v="714"/>
        <n v="747"/>
        <n v="652"/>
        <n v="431"/>
        <n v="654"/>
        <n v="524"/>
        <n v="380"/>
        <n v="395"/>
        <n v="562"/>
        <n v="812"/>
        <n v="878"/>
        <n v="325"/>
        <n v="655"/>
        <n v="550"/>
        <n v="513"/>
        <n v="679"/>
        <n v="820"/>
        <n v="849"/>
        <n v="583"/>
        <n v="566"/>
        <n v="552"/>
        <n v="403"/>
        <n v="863"/>
        <n v="317"/>
        <n v="359"/>
        <n v="625"/>
        <n v="663"/>
        <n v="893"/>
        <n v="626"/>
        <n v="343"/>
        <n v="671"/>
        <n v="569"/>
        <n v="847"/>
        <n v="851"/>
        <n v="328"/>
        <n v="600"/>
        <n v="782"/>
        <n v="351"/>
        <n v="496"/>
        <n v="324"/>
        <n v="792"/>
        <n v="627"/>
        <n v="724"/>
        <n v="867"/>
        <n v="578"/>
        <n v="634"/>
        <n v="336"/>
        <n v="383"/>
        <n v="518"/>
        <n v="511"/>
        <n v="806"/>
        <n v="384"/>
        <n v="563"/>
        <n v="768"/>
        <n v="763"/>
        <n v="493"/>
        <n v="606"/>
        <n v="542"/>
        <n v="799"/>
        <n v="598"/>
        <n v="375"/>
        <n v="854"/>
        <n v="833"/>
        <n v="316"/>
        <n v="605"/>
        <n v="717"/>
        <n v="697"/>
        <n v="896"/>
        <n v="879"/>
        <n v="510"/>
        <n v="732"/>
        <n v="813"/>
        <n v="692"/>
        <n v="648"/>
        <n v="645"/>
        <n v="869"/>
        <n v="737"/>
        <n v="738"/>
        <n v="693"/>
        <n v="641"/>
        <n v="471"/>
        <n v="809"/>
        <n v="769"/>
        <n v="689"/>
        <n v="389"/>
        <n v="841"/>
        <n v="709"/>
        <n v="390"/>
        <n v="473"/>
        <n v="726"/>
        <n v="571"/>
        <n v="756"/>
        <n v="829"/>
        <n v="369"/>
        <n v="509"/>
        <n v="372"/>
        <n v="838"/>
        <n v="659"/>
        <n v="449"/>
        <n v="764"/>
        <n v="437"/>
        <n v="777"/>
        <n v="358"/>
        <n v="783"/>
        <n v="887"/>
        <n v="889"/>
        <n v="772"/>
        <n v="900"/>
        <n v="725"/>
        <n v="350"/>
        <n v="339"/>
        <n v="842"/>
        <n v="713"/>
        <n v="858"/>
        <n v="530"/>
        <n v="512"/>
        <n v="621"/>
        <n v="620"/>
        <n v="401"/>
        <n v="638"/>
        <n v="831"/>
        <n v="623"/>
        <n v="861"/>
        <n v="678"/>
        <n v="610"/>
        <n v="868"/>
        <n v="615"/>
        <n v="309"/>
        <n v="800"/>
        <n v="594"/>
        <n v="549"/>
        <n v="501"/>
        <n v="584"/>
        <n v="787"/>
        <n v="651"/>
        <n v="609"/>
        <n v="363"/>
        <n v="529"/>
        <n v="537"/>
        <n v="467"/>
        <n v="696"/>
        <n v="822"/>
        <n v="308"/>
        <n v="409"/>
        <n v="446"/>
        <n v="680"/>
        <n v="751"/>
        <n v="574"/>
        <n v="469"/>
        <n v="406"/>
        <n v="463"/>
        <n v="899"/>
        <n v="825"/>
        <n v="694"/>
        <n v="539"/>
        <n v="844"/>
        <n v="776"/>
        <n v="558"/>
        <n v="646"/>
        <n v="479"/>
        <n v="340"/>
        <n v="865"/>
        <n v="718"/>
        <n v="300"/>
        <n v="365"/>
        <n v="436"/>
        <n v="837"/>
        <n v="660"/>
        <n v="892"/>
        <n v="477"/>
        <n v="773"/>
        <n v="778"/>
        <n v="884"/>
        <n v="418"/>
        <n v="700"/>
        <n v="767"/>
        <n v="642"/>
        <n v="729"/>
        <n v="601"/>
        <n v="761"/>
        <n v="883"/>
        <n v="770"/>
        <n v="547"/>
        <n v="730"/>
        <n v="808"/>
        <n v="873"/>
        <n v="360"/>
        <n v="614"/>
        <n v="447"/>
        <n v="823"/>
        <n v="379"/>
        <n v="688"/>
        <n v="526"/>
        <n v="850"/>
        <n v="410"/>
        <n v="874"/>
        <n v="485"/>
        <n v="458"/>
        <n v="749"/>
        <n v="760"/>
        <n v="653"/>
        <n v="560"/>
        <n v="461"/>
        <n v="303"/>
        <n v="855"/>
        <n v="866"/>
        <n v="836"/>
        <n v="559"/>
        <n v="440"/>
        <n v="788"/>
        <n v="531"/>
        <n v="604"/>
        <n v="545"/>
        <n v="745"/>
        <n v="329"/>
        <n v="897"/>
        <n v="517"/>
        <n v="667"/>
        <n v="486"/>
        <n v="619"/>
        <n v="478"/>
        <n v="826"/>
        <n v="345"/>
        <n v="811"/>
        <n v="465"/>
        <n v="407"/>
        <n v="846"/>
        <n v="608"/>
        <n v="891"/>
        <n v="548"/>
        <n v="386"/>
        <n v="540"/>
        <n v="862"/>
        <n v="312"/>
        <n v="670"/>
        <n v="706"/>
        <n v="417"/>
        <n v="306"/>
        <n v="839"/>
        <n v="629"/>
        <n v="528"/>
        <n v="686"/>
        <n v="735"/>
        <n v="676"/>
        <n v="722"/>
        <n v="595"/>
        <n v="586"/>
        <n v="757"/>
        <n v="349"/>
        <n v="307"/>
        <n v="888"/>
        <n v="649"/>
        <n v="848"/>
        <n v="597"/>
        <n v="817"/>
        <n v="553"/>
        <n v="658"/>
        <n v="439"/>
        <n v="397"/>
        <n v="454"/>
        <n v="455"/>
        <n v="596"/>
        <n v="507"/>
        <n v="468"/>
        <n v="635"/>
        <n v="882"/>
        <n v="346"/>
        <n v="637"/>
        <n v="453"/>
        <n v="452"/>
        <n v="402"/>
        <n v="544"/>
        <n v="668"/>
        <n v="335"/>
        <n v="759"/>
        <n v="885"/>
        <n v="551"/>
        <n v="472"/>
        <n v="593"/>
        <n v="624"/>
        <n v="504"/>
        <n v="516"/>
        <n v="710"/>
        <n v="853"/>
        <n v="573"/>
        <n v="533"/>
        <n v="736"/>
        <n v="432"/>
        <n v="699"/>
        <n v="490"/>
        <n v="872"/>
        <n v="677"/>
        <n v="647"/>
        <n v="570"/>
        <n v="357"/>
        <n v="457"/>
        <n v="612"/>
        <n v="555"/>
        <n v="666"/>
        <n v="522"/>
        <n v="388"/>
        <n v="802"/>
        <n v="521"/>
        <n v="755"/>
        <n v="523"/>
        <n v="793"/>
        <n v="665"/>
        <n v="704"/>
        <n v="546"/>
        <n v="797"/>
        <n v="876"/>
        <n v="344"/>
        <n v="743"/>
        <n v="815"/>
        <n v="341"/>
        <n v="591"/>
        <n v="448"/>
        <n v="798"/>
        <n v="412"/>
        <n v="487"/>
        <n v="393"/>
        <n v="495"/>
        <n v="554"/>
        <n v="870"/>
        <n v="886"/>
        <n v="630"/>
        <n v="857"/>
        <n v="781"/>
        <n v="786"/>
        <n v="527"/>
        <n v="400"/>
        <n v="482"/>
        <n v="304"/>
        <n v="752"/>
        <n v="378"/>
        <n v="366"/>
        <n v="673"/>
        <n v="587"/>
        <n v="748"/>
        <n v="323"/>
        <n v="616"/>
        <n v="428"/>
        <n v="801"/>
        <n v="703"/>
        <n v="364"/>
        <n v="332"/>
        <n v="675"/>
        <n v="499"/>
        <n v="881"/>
        <n v="480"/>
        <n v="411"/>
        <n v="721"/>
        <n v="795"/>
        <n v="519"/>
        <n v="426"/>
        <n v="727"/>
        <n v="396"/>
        <n v="483"/>
        <n v="771"/>
        <n v="419"/>
        <n v="775"/>
        <n v="698"/>
        <n v="342"/>
        <n v="632"/>
        <n v="322"/>
        <n v="356"/>
        <n v="444"/>
        <n v="420"/>
        <n v="807"/>
        <n v="588"/>
        <n v="421"/>
        <n v="682"/>
        <n v="859"/>
        <n v="503"/>
        <n v="491"/>
        <n v="382"/>
        <n v="348"/>
        <n v="361"/>
        <n v="880"/>
        <n v="864"/>
        <n v="628"/>
        <n v="733"/>
        <n v="534"/>
        <n v="662"/>
        <n v="320"/>
        <n v="577"/>
        <n v="435"/>
        <n v="753"/>
        <n v="631"/>
        <n v="302"/>
        <n v="488"/>
        <n v="514"/>
        <n v="319"/>
        <n v="684"/>
        <n v="589"/>
        <n v="489"/>
        <n v="427"/>
        <n v="347"/>
        <n v="505"/>
        <n v="828"/>
        <n v="669"/>
        <n v="780"/>
        <n v="367"/>
        <n v="819"/>
        <n v="871"/>
        <n v="898"/>
        <n v="567"/>
        <n v="576"/>
        <n v="543"/>
        <n v="500"/>
        <n v="582"/>
        <n v="639"/>
        <n v="362"/>
        <n v="890"/>
        <n v="368"/>
      </sharedItems>
    </cacheField>
    <cacheField name="Customer Age" numFmtId="0">
      <sharedItems containsSemiMixedTypes="0" containsString="0" containsNumber="1" containsInteger="1" minValue="18" maxValue="70"/>
    </cacheField>
    <cacheField name="Customer Gender" numFmtId="0">
      <sharedItems/>
    </cacheField>
    <cacheField name="Annual Income" numFmtId="0">
      <sharedItems containsSemiMixedTypes="0" containsString="0" containsNumber="1" containsInteger="1" minValue="201213" maxValue="2995080"/>
    </cacheField>
    <cacheField name="Account Status" numFmtId="0">
      <sharedItems count="2">
        <s v="Inactive"/>
        <s v="Active"/>
      </sharedItems>
    </cacheField>
    <cacheField name="Loan Status" numFmtId="0">
      <sharedItems count="5">
        <s v="N/A"/>
        <s v="Disbursed"/>
        <s v="Pending"/>
        <s v="Default"/>
        <s v="Closed"/>
      </sharedItems>
    </cacheField>
    <cacheField name="Relationship Manager" numFmtId="0">
      <sharedItems/>
    </cacheField>
    <cacheField name="Days (Transaction Date)" numFmtId="0" databaseField="0">
      <fieldGroup base="1">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Transaction Date)" numFmtId="0" databaseField="0">
      <fieldGroup base="1">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12879369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9">
  <r>
    <s v="T100000"/>
    <x v="0"/>
    <x v="0"/>
    <x v="0"/>
    <x v="0"/>
    <s v="Karnataka"/>
    <x v="0"/>
    <s v="Interest"/>
    <n v="0"/>
    <n v="0"/>
    <n v="0"/>
    <n v="0"/>
    <n v="2965.3"/>
    <x v="0"/>
    <n v="19"/>
    <s v="Male"/>
    <n v="210362"/>
    <x v="0"/>
    <x v="0"/>
    <s v="A. Sharma"/>
  </r>
  <r>
    <s v="T100001"/>
    <x v="1"/>
    <x v="1"/>
    <x v="1"/>
    <x v="0"/>
    <s v="Delhi"/>
    <x v="0"/>
    <s v="Loan"/>
    <n v="0"/>
    <n v="0"/>
    <n v="1854773"/>
    <n v="0"/>
    <n v="0"/>
    <x v="1"/>
    <n v="22"/>
    <s v="Female"/>
    <n v="420654"/>
    <x v="0"/>
    <x v="1"/>
    <s v="P. Singh"/>
  </r>
  <r>
    <s v="T100002"/>
    <x v="2"/>
    <x v="2"/>
    <x v="2"/>
    <x v="1"/>
    <s v="Telangana"/>
    <x v="1"/>
    <s v="Withdrawal"/>
    <n v="0"/>
    <n v="24815"/>
    <n v="0"/>
    <n v="0"/>
    <n v="0"/>
    <x v="2"/>
    <n v="48"/>
    <s v="Male"/>
    <n v="1560154"/>
    <x v="0"/>
    <x v="0"/>
    <s v="S. Kumar"/>
  </r>
  <r>
    <s v="T100003"/>
    <x v="3"/>
    <x v="3"/>
    <x v="3"/>
    <x v="1"/>
    <s v="Tamil Nadu"/>
    <x v="0"/>
    <s v="Interest"/>
    <n v="0"/>
    <n v="0"/>
    <n v="0"/>
    <n v="0"/>
    <n v="2361.4"/>
    <x v="3"/>
    <n v="39"/>
    <s v="Female"/>
    <n v="1488185"/>
    <x v="0"/>
    <x v="0"/>
    <s v="R. Patel"/>
  </r>
  <r>
    <s v="T100004"/>
    <x v="4"/>
    <x v="1"/>
    <x v="4"/>
    <x v="2"/>
    <s v="Karnataka"/>
    <x v="0"/>
    <s v="Interest"/>
    <n v="0"/>
    <n v="0"/>
    <n v="0"/>
    <n v="0"/>
    <n v="9481.48"/>
    <x v="4"/>
    <n v="20"/>
    <s v="Female"/>
    <n v="664321"/>
    <x v="1"/>
    <x v="0"/>
    <s v="S. Kumar"/>
  </r>
  <r>
    <s v="T100005"/>
    <x v="5"/>
    <x v="4"/>
    <x v="5"/>
    <x v="0"/>
    <s v="Tamil Nadu"/>
    <x v="1"/>
    <s v="EMI"/>
    <n v="0"/>
    <n v="0"/>
    <n v="0"/>
    <n v="49524"/>
    <n v="0"/>
    <x v="5"/>
    <n v="66"/>
    <s v="Female"/>
    <n v="1249027"/>
    <x v="1"/>
    <x v="1"/>
    <s v="P. Singh"/>
  </r>
  <r>
    <s v="T100006"/>
    <x v="6"/>
    <x v="5"/>
    <x v="6"/>
    <x v="3"/>
    <s v="Tamil Nadu"/>
    <x v="0"/>
    <s v="Deposit"/>
    <n v="190508"/>
    <n v="0"/>
    <n v="0"/>
    <n v="0"/>
    <n v="0"/>
    <x v="6"/>
    <n v="61"/>
    <s v="Male"/>
    <n v="982914"/>
    <x v="0"/>
    <x v="0"/>
    <s v="P. Singh"/>
  </r>
  <r>
    <s v="T100007"/>
    <x v="7"/>
    <x v="6"/>
    <x v="7"/>
    <x v="1"/>
    <s v="Karnataka"/>
    <x v="2"/>
    <s v="Deposit"/>
    <n v="166281"/>
    <n v="0"/>
    <n v="0"/>
    <n v="0"/>
    <n v="0"/>
    <x v="7"/>
    <n v="32"/>
    <s v="Female"/>
    <n v="2205645"/>
    <x v="1"/>
    <x v="0"/>
    <s v="N. Rao"/>
  </r>
  <r>
    <s v="T100008"/>
    <x v="8"/>
    <x v="3"/>
    <x v="8"/>
    <x v="4"/>
    <s v="Maharashtra"/>
    <x v="2"/>
    <s v="Loan"/>
    <n v="0"/>
    <n v="0"/>
    <n v="270793"/>
    <n v="0"/>
    <n v="0"/>
    <x v="8"/>
    <n v="40"/>
    <s v="Male"/>
    <n v="2010335"/>
    <x v="0"/>
    <x v="2"/>
    <s v="N. Rao"/>
  </r>
  <r>
    <s v="T100009"/>
    <x v="9"/>
    <x v="7"/>
    <x v="9"/>
    <x v="0"/>
    <s v="Delhi"/>
    <x v="3"/>
    <s v="Deposit"/>
    <n v="65703"/>
    <n v="0"/>
    <n v="0"/>
    <n v="0"/>
    <n v="0"/>
    <x v="9"/>
    <n v="41"/>
    <s v="Female"/>
    <n v="2726474"/>
    <x v="1"/>
    <x v="0"/>
    <s v="N. Rao"/>
  </r>
  <r>
    <s v="T100010"/>
    <x v="10"/>
    <x v="8"/>
    <x v="10"/>
    <x v="4"/>
    <s v="Karnataka"/>
    <x v="0"/>
    <s v="EMI"/>
    <n v="0"/>
    <n v="0"/>
    <n v="0"/>
    <n v="22670"/>
    <n v="0"/>
    <x v="10"/>
    <n v="20"/>
    <s v="Male"/>
    <n v="2895921"/>
    <x v="0"/>
    <x v="3"/>
    <s v="R. Patel"/>
  </r>
  <r>
    <s v="T100011"/>
    <x v="11"/>
    <x v="8"/>
    <x v="11"/>
    <x v="4"/>
    <s v="Telangana"/>
    <x v="1"/>
    <s v="EMI"/>
    <n v="0"/>
    <n v="0"/>
    <n v="0"/>
    <n v="13714"/>
    <n v="0"/>
    <x v="11"/>
    <n v="63"/>
    <s v="Female"/>
    <n v="1944434"/>
    <x v="0"/>
    <x v="4"/>
    <s v="A. Sharma"/>
  </r>
  <r>
    <s v="T100012"/>
    <x v="12"/>
    <x v="1"/>
    <x v="12"/>
    <x v="5"/>
    <s v="Telangana"/>
    <x v="2"/>
    <s v="Withdrawal"/>
    <n v="0"/>
    <n v="42097"/>
    <n v="0"/>
    <n v="0"/>
    <n v="0"/>
    <x v="12"/>
    <n v="66"/>
    <s v="Male"/>
    <n v="1125243"/>
    <x v="0"/>
    <x v="0"/>
    <s v="A. Sharma"/>
  </r>
  <r>
    <s v="T100013"/>
    <x v="13"/>
    <x v="7"/>
    <x v="2"/>
    <x v="5"/>
    <s v="Maharashtra"/>
    <x v="2"/>
    <s v="Interest"/>
    <n v="0"/>
    <n v="0"/>
    <n v="0"/>
    <n v="0"/>
    <n v="268.36"/>
    <x v="13"/>
    <n v="34"/>
    <s v="Male"/>
    <n v="894657"/>
    <x v="0"/>
    <x v="0"/>
    <s v="P. Singh"/>
  </r>
  <r>
    <s v="T100014"/>
    <x v="14"/>
    <x v="0"/>
    <x v="13"/>
    <x v="4"/>
    <s v="Karnataka"/>
    <x v="2"/>
    <s v="EMI"/>
    <n v="0"/>
    <n v="0"/>
    <n v="0"/>
    <n v="16499"/>
    <n v="0"/>
    <x v="14"/>
    <n v="26"/>
    <s v="Female"/>
    <n v="1331670"/>
    <x v="1"/>
    <x v="1"/>
    <s v="N. Rao"/>
  </r>
  <r>
    <s v="T100015"/>
    <x v="15"/>
    <x v="5"/>
    <x v="14"/>
    <x v="4"/>
    <s v="Delhi"/>
    <x v="0"/>
    <s v="Withdrawal"/>
    <n v="0"/>
    <n v="88630"/>
    <n v="0"/>
    <n v="0"/>
    <n v="0"/>
    <x v="15"/>
    <n v="22"/>
    <s v="Male"/>
    <n v="301003"/>
    <x v="0"/>
    <x v="0"/>
    <s v="R. Patel"/>
  </r>
  <r>
    <s v="T100016"/>
    <x v="16"/>
    <x v="9"/>
    <x v="15"/>
    <x v="1"/>
    <s v="Karnataka"/>
    <x v="1"/>
    <s v="Interest"/>
    <n v="0"/>
    <n v="0"/>
    <n v="0"/>
    <n v="0"/>
    <n v="8095.97"/>
    <x v="16"/>
    <n v="30"/>
    <s v="Male"/>
    <n v="2390531"/>
    <x v="0"/>
    <x v="0"/>
    <s v="S. Kumar"/>
  </r>
  <r>
    <s v="T100018"/>
    <x v="17"/>
    <x v="4"/>
    <x v="16"/>
    <x v="3"/>
    <s v="Tamil Nadu"/>
    <x v="2"/>
    <s v="Loan"/>
    <n v="0"/>
    <n v="0"/>
    <n v="1038373"/>
    <n v="0"/>
    <n v="0"/>
    <x v="17"/>
    <n v="63"/>
    <s v="Female"/>
    <n v="1842610"/>
    <x v="0"/>
    <x v="1"/>
    <s v="R. Patel"/>
  </r>
  <r>
    <s v="T100019"/>
    <x v="18"/>
    <x v="9"/>
    <x v="17"/>
    <x v="3"/>
    <s v="Karnataka"/>
    <x v="0"/>
    <s v="EMI"/>
    <n v="0"/>
    <n v="0"/>
    <n v="0"/>
    <n v="45878"/>
    <n v="0"/>
    <x v="18"/>
    <n v="26"/>
    <s v="Male"/>
    <n v="1243111"/>
    <x v="1"/>
    <x v="1"/>
    <s v="P. Singh"/>
  </r>
  <r>
    <s v="T100020"/>
    <x v="19"/>
    <x v="0"/>
    <x v="18"/>
    <x v="0"/>
    <s v="Karnataka"/>
    <x v="0"/>
    <s v="Deposit"/>
    <n v="93735"/>
    <n v="0"/>
    <n v="0"/>
    <n v="0"/>
    <n v="0"/>
    <x v="19"/>
    <n v="49"/>
    <s v="Male"/>
    <n v="2930532"/>
    <x v="1"/>
    <x v="0"/>
    <s v="S. Kumar"/>
  </r>
  <r>
    <s v="T100021"/>
    <x v="11"/>
    <x v="8"/>
    <x v="19"/>
    <x v="5"/>
    <s v="Telangana"/>
    <x v="2"/>
    <s v="Deposit"/>
    <n v="199734"/>
    <n v="0"/>
    <n v="0"/>
    <n v="0"/>
    <n v="0"/>
    <x v="20"/>
    <n v="61"/>
    <s v="Female"/>
    <n v="2157347"/>
    <x v="0"/>
    <x v="0"/>
    <s v="S. Kumar"/>
  </r>
  <r>
    <s v="T100022"/>
    <x v="20"/>
    <x v="3"/>
    <x v="19"/>
    <x v="2"/>
    <s v="Maharashtra"/>
    <x v="1"/>
    <s v="Deposit"/>
    <n v="42938"/>
    <n v="0"/>
    <n v="0"/>
    <n v="0"/>
    <n v="0"/>
    <x v="21"/>
    <n v="37"/>
    <s v="Female"/>
    <n v="1394178"/>
    <x v="1"/>
    <x v="0"/>
    <s v="S. Kumar"/>
  </r>
  <r>
    <s v="T100023"/>
    <x v="21"/>
    <x v="1"/>
    <x v="20"/>
    <x v="4"/>
    <s v="Maharashtra"/>
    <x v="2"/>
    <s v="Withdrawal"/>
    <n v="0"/>
    <n v="27718"/>
    <n v="0"/>
    <n v="0"/>
    <n v="0"/>
    <x v="22"/>
    <n v="24"/>
    <s v="Male"/>
    <n v="281073"/>
    <x v="1"/>
    <x v="0"/>
    <s v="R. Patel"/>
  </r>
  <r>
    <s v="T100024"/>
    <x v="22"/>
    <x v="10"/>
    <x v="21"/>
    <x v="0"/>
    <s v="Delhi"/>
    <x v="0"/>
    <s v="EMI"/>
    <n v="0"/>
    <n v="0"/>
    <n v="0"/>
    <n v="29778"/>
    <n v="0"/>
    <x v="23"/>
    <n v="38"/>
    <s v="Male"/>
    <n v="1839672"/>
    <x v="1"/>
    <x v="3"/>
    <s v="S. Kumar"/>
  </r>
  <r>
    <s v="T100025"/>
    <x v="23"/>
    <x v="10"/>
    <x v="22"/>
    <x v="1"/>
    <s v="Telangana"/>
    <x v="1"/>
    <s v="Withdrawal"/>
    <n v="0"/>
    <n v="94678"/>
    <n v="0"/>
    <n v="0"/>
    <n v="0"/>
    <x v="24"/>
    <n v="38"/>
    <s v="Female"/>
    <n v="1967417"/>
    <x v="0"/>
    <x v="0"/>
    <s v="A. Sharma"/>
  </r>
  <r>
    <s v="T100026"/>
    <x v="24"/>
    <x v="8"/>
    <x v="23"/>
    <x v="4"/>
    <s v="Maharashtra"/>
    <x v="3"/>
    <s v="Interest"/>
    <n v="0"/>
    <n v="0"/>
    <n v="0"/>
    <n v="0"/>
    <n v="6241.81"/>
    <x v="25"/>
    <n v="45"/>
    <s v="Male"/>
    <n v="1280633"/>
    <x v="0"/>
    <x v="0"/>
    <s v="A. Sharma"/>
  </r>
  <r>
    <s v="T100027"/>
    <x v="25"/>
    <x v="4"/>
    <x v="24"/>
    <x v="1"/>
    <s v="Karnataka"/>
    <x v="2"/>
    <s v="Deposit"/>
    <n v="154161"/>
    <n v="0"/>
    <n v="0"/>
    <n v="0"/>
    <n v="0"/>
    <x v="26"/>
    <n v="23"/>
    <s v="Female"/>
    <n v="2758024"/>
    <x v="1"/>
    <x v="0"/>
    <s v="P. Singh"/>
  </r>
  <r>
    <s v="T100028"/>
    <x v="26"/>
    <x v="8"/>
    <x v="25"/>
    <x v="1"/>
    <s v="Telangana"/>
    <x v="3"/>
    <s v="Interest"/>
    <n v="0"/>
    <n v="0"/>
    <n v="0"/>
    <n v="0"/>
    <n v="7246.9"/>
    <x v="27"/>
    <n v="27"/>
    <s v="Female"/>
    <n v="1015537"/>
    <x v="0"/>
    <x v="0"/>
    <s v="R. Patel"/>
  </r>
  <r>
    <s v="T100029"/>
    <x v="27"/>
    <x v="11"/>
    <x v="26"/>
    <x v="0"/>
    <s v="Telangana"/>
    <x v="0"/>
    <s v="Deposit"/>
    <n v="110770"/>
    <n v="0"/>
    <n v="0"/>
    <n v="0"/>
    <n v="0"/>
    <x v="28"/>
    <n v="55"/>
    <s v="Male"/>
    <n v="684185"/>
    <x v="0"/>
    <x v="0"/>
    <s v="A. Sharma"/>
  </r>
  <r>
    <s v="T100030"/>
    <x v="28"/>
    <x v="7"/>
    <x v="27"/>
    <x v="2"/>
    <s v="Delhi"/>
    <x v="1"/>
    <s v="EMI"/>
    <n v="0"/>
    <n v="0"/>
    <n v="0"/>
    <n v="30765"/>
    <n v="0"/>
    <x v="29"/>
    <n v="59"/>
    <s v="Male"/>
    <n v="742743"/>
    <x v="1"/>
    <x v="4"/>
    <s v="R. Patel"/>
  </r>
  <r>
    <s v="T100031"/>
    <x v="29"/>
    <x v="6"/>
    <x v="28"/>
    <x v="5"/>
    <s v="Telangana"/>
    <x v="0"/>
    <s v="Deposit"/>
    <n v="53788"/>
    <n v="0"/>
    <n v="0"/>
    <n v="0"/>
    <n v="0"/>
    <x v="30"/>
    <n v="61"/>
    <s v="Female"/>
    <n v="892188"/>
    <x v="0"/>
    <x v="0"/>
    <s v="R. Patel"/>
  </r>
  <r>
    <s v="T100032"/>
    <x v="30"/>
    <x v="0"/>
    <x v="29"/>
    <x v="6"/>
    <s v="Karnataka"/>
    <x v="3"/>
    <s v="EMI"/>
    <n v="0"/>
    <n v="0"/>
    <n v="0"/>
    <n v="47137"/>
    <n v="0"/>
    <x v="31"/>
    <n v="60"/>
    <s v="Female"/>
    <n v="2644701"/>
    <x v="1"/>
    <x v="4"/>
    <s v="S. Kumar"/>
  </r>
  <r>
    <s v="T100033"/>
    <x v="31"/>
    <x v="4"/>
    <x v="30"/>
    <x v="5"/>
    <s v="Tamil Nadu"/>
    <x v="1"/>
    <s v="Withdrawal"/>
    <n v="0"/>
    <n v="47732"/>
    <n v="0"/>
    <n v="0"/>
    <n v="0"/>
    <x v="32"/>
    <n v="38"/>
    <s v="Male"/>
    <n v="1119426"/>
    <x v="1"/>
    <x v="0"/>
    <s v="R. Patel"/>
  </r>
  <r>
    <s v="T100034"/>
    <x v="32"/>
    <x v="6"/>
    <x v="31"/>
    <x v="2"/>
    <s v="Tamil Nadu"/>
    <x v="0"/>
    <s v="Withdrawal"/>
    <n v="0"/>
    <n v="99699"/>
    <n v="0"/>
    <n v="0"/>
    <n v="0"/>
    <x v="33"/>
    <n v="55"/>
    <s v="Male"/>
    <n v="1929234"/>
    <x v="1"/>
    <x v="0"/>
    <s v="A. Sharma"/>
  </r>
  <r>
    <s v="T100035"/>
    <x v="33"/>
    <x v="0"/>
    <x v="32"/>
    <x v="2"/>
    <s v="Karnataka"/>
    <x v="3"/>
    <s v="Deposit"/>
    <n v="85332"/>
    <n v="0"/>
    <n v="0"/>
    <n v="0"/>
    <n v="0"/>
    <x v="34"/>
    <n v="19"/>
    <s v="Male"/>
    <n v="2994391"/>
    <x v="0"/>
    <x v="0"/>
    <s v="R. Patel"/>
  </r>
  <r>
    <s v="T100036"/>
    <x v="34"/>
    <x v="5"/>
    <x v="33"/>
    <x v="4"/>
    <s v="Tamil Nadu"/>
    <x v="2"/>
    <s v="EMI"/>
    <n v="0"/>
    <n v="0"/>
    <n v="0"/>
    <n v="13724"/>
    <n v="0"/>
    <x v="35"/>
    <n v="22"/>
    <s v="Male"/>
    <n v="2543409"/>
    <x v="0"/>
    <x v="4"/>
    <s v="P. Singh"/>
  </r>
  <r>
    <s v="T100037"/>
    <x v="35"/>
    <x v="6"/>
    <x v="34"/>
    <x v="1"/>
    <s v="Maharashtra"/>
    <x v="3"/>
    <s v="Interest"/>
    <n v="0"/>
    <n v="0"/>
    <n v="0"/>
    <n v="0"/>
    <n v="8075.07"/>
    <x v="36"/>
    <n v="36"/>
    <s v="Female"/>
    <n v="2912977"/>
    <x v="1"/>
    <x v="0"/>
    <s v="A. Sharma"/>
  </r>
  <r>
    <s v="T100038"/>
    <x v="36"/>
    <x v="0"/>
    <x v="35"/>
    <x v="5"/>
    <s v="Delhi"/>
    <x v="0"/>
    <s v="Deposit"/>
    <n v="15383"/>
    <n v="0"/>
    <n v="0"/>
    <n v="0"/>
    <n v="0"/>
    <x v="37"/>
    <n v="70"/>
    <s v="Female"/>
    <n v="676010"/>
    <x v="1"/>
    <x v="0"/>
    <s v="S. Kumar"/>
  </r>
  <r>
    <s v="T100039"/>
    <x v="37"/>
    <x v="3"/>
    <x v="2"/>
    <x v="2"/>
    <s v="Karnataka"/>
    <x v="3"/>
    <s v="EMI"/>
    <n v="0"/>
    <n v="0"/>
    <n v="0"/>
    <n v="43371"/>
    <n v="0"/>
    <x v="38"/>
    <n v="46"/>
    <s v="Male"/>
    <n v="2885022"/>
    <x v="1"/>
    <x v="4"/>
    <s v="R. Patel"/>
  </r>
  <r>
    <s v="T100040"/>
    <x v="38"/>
    <x v="4"/>
    <x v="36"/>
    <x v="0"/>
    <s v="Delhi"/>
    <x v="1"/>
    <s v="Deposit"/>
    <n v="60221"/>
    <n v="0"/>
    <n v="0"/>
    <n v="0"/>
    <n v="0"/>
    <x v="39"/>
    <n v="38"/>
    <s v="Male"/>
    <n v="1503542"/>
    <x v="1"/>
    <x v="0"/>
    <s v="S. Kumar"/>
  </r>
  <r>
    <s v="T100041"/>
    <x v="39"/>
    <x v="11"/>
    <x v="37"/>
    <x v="1"/>
    <s v="Karnataka"/>
    <x v="2"/>
    <s v="Withdrawal"/>
    <n v="0"/>
    <n v="72638"/>
    <n v="0"/>
    <n v="0"/>
    <n v="0"/>
    <x v="40"/>
    <n v="63"/>
    <s v="Female"/>
    <n v="1085149"/>
    <x v="1"/>
    <x v="0"/>
    <s v="P. Singh"/>
  </r>
  <r>
    <s v="T100042"/>
    <x v="40"/>
    <x v="10"/>
    <x v="38"/>
    <x v="2"/>
    <s v="Delhi"/>
    <x v="0"/>
    <s v="Deposit"/>
    <n v="14218"/>
    <n v="0"/>
    <n v="0"/>
    <n v="0"/>
    <n v="0"/>
    <x v="41"/>
    <n v="26"/>
    <s v="Female"/>
    <n v="2125291"/>
    <x v="1"/>
    <x v="0"/>
    <s v="S. Kumar"/>
  </r>
  <r>
    <s v="T100043"/>
    <x v="41"/>
    <x v="1"/>
    <x v="39"/>
    <x v="1"/>
    <s v="Maharashtra"/>
    <x v="3"/>
    <s v="Withdrawal"/>
    <n v="0"/>
    <n v="46560"/>
    <n v="0"/>
    <n v="0"/>
    <n v="0"/>
    <x v="42"/>
    <n v="45"/>
    <s v="Male"/>
    <n v="496288"/>
    <x v="1"/>
    <x v="0"/>
    <s v="A. Sharma"/>
  </r>
  <r>
    <s v="T100044"/>
    <x v="42"/>
    <x v="11"/>
    <x v="40"/>
    <x v="0"/>
    <s v="Maharashtra"/>
    <x v="2"/>
    <s v="Deposit"/>
    <n v="156208"/>
    <n v="0"/>
    <n v="0"/>
    <n v="0"/>
    <n v="0"/>
    <x v="43"/>
    <n v="30"/>
    <s v="Female"/>
    <n v="675385"/>
    <x v="0"/>
    <x v="0"/>
    <s v="A. Sharma"/>
  </r>
  <r>
    <s v="T100045"/>
    <x v="43"/>
    <x v="8"/>
    <x v="41"/>
    <x v="5"/>
    <s v="Delhi"/>
    <x v="3"/>
    <s v="Loan"/>
    <n v="0"/>
    <n v="0"/>
    <n v="1919171"/>
    <n v="0"/>
    <n v="0"/>
    <x v="44"/>
    <n v="41"/>
    <s v="Female"/>
    <n v="2902739"/>
    <x v="0"/>
    <x v="1"/>
    <s v="R. Patel"/>
  </r>
  <r>
    <s v="T100046"/>
    <x v="33"/>
    <x v="0"/>
    <x v="42"/>
    <x v="5"/>
    <s v="Tamil Nadu"/>
    <x v="3"/>
    <s v="Loan"/>
    <n v="0"/>
    <n v="0"/>
    <n v="1752912"/>
    <n v="0"/>
    <n v="0"/>
    <x v="45"/>
    <n v="47"/>
    <s v="Female"/>
    <n v="895359"/>
    <x v="0"/>
    <x v="1"/>
    <s v="N. Rao"/>
  </r>
  <r>
    <s v="T100047"/>
    <x v="44"/>
    <x v="9"/>
    <x v="14"/>
    <x v="0"/>
    <s v="Tamil Nadu"/>
    <x v="1"/>
    <s v="Interest"/>
    <n v="0"/>
    <n v="0"/>
    <n v="0"/>
    <n v="0"/>
    <n v="8110.99"/>
    <x v="23"/>
    <n v="64"/>
    <s v="Female"/>
    <n v="2867863"/>
    <x v="1"/>
    <x v="0"/>
    <s v="P. Singh"/>
  </r>
  <r>
    <s v="T100048"/>
    <x v="45"/>
    <x v="0"/>
    <x v="39"/>
    <x v="5"/>
    <s v="Karnataka"/>
    <x v="0"/>
    <s v="Interest"/>
    <n v="0"/>
    <n v="0"/>
    <n v="0"/>
    <n v="0"/>
    <n v="8117.18"/>
    <x v="46"/>
    <n v="34"/>
    <s v="Female"/>
    <n v="1790620"/>
    <x v="0"/>
    <x v="0"/>
    <s v="S. Kumar"/>
  </r>
  <r>
    <s v="T100049"/>
    <x v="46"/>
    <x v="8"/>
    <x v="6"/>
    <x v="5"/>
    <s v="Telangana"/>
    <x v="1"/>
    <s v="Interest"/>
    <n v="0"/>
    <n v="0"/>
    <n v="0"/>
    <n v="0"/>
    <n v="9623.5499999999993"/>
    <x v="47"/>
    <n v="54"/>
    <s v="Male"/>
    <n v="747200"/>
    <x v="0"/>
    <x v="0"/>
    <s v="P. Singh"/>
  </r>
  <r>
    <s v="T100050"/>
    <x v="47"/>
    <x v="8"/>
    <x v="43"/>
    <x v="0"/>
    <s v="Delhi"/>
    <x v="1"/>
    <s v="Interest"/>
    <n v="0"/>
    <n v="0"/>
    <n v="0"/>
    <n v="0"/>
    <n v="474.09"/>
    <x v="48"/>
    <n v="54"/>
    <s v="Male"/>
    <n v="1056006"/>
    <x v="1"/>
    <x v="0"/>
    <s v="N. Rao"/>
  </r>
  <r>
    <s v="T100051"/>
    <x v="48"/>
    <x v="3"/>
    <x v="1"/>
    <x v="5"/>
    <s v="Maharashtra"/>
    <x v="0"/>
    <s v="Loan"/>
    <n v="0"/>
    <n v="0"/>
    <n v="1353757"/>
    <n v="0"/>
    <n v="0"/>
    <x v="49"/>
    <n v="57"/>
    <s v="Female"/>
    <n v="2553898"/>
    <x v="0"/>
    <x v="2"/>
    <s v="P. Singh"/>
  </r>
  <r>
    <s v="T100052"/>
    <x v="49"/>
    <x v="0"/>
    <x v="44"/>
    <x v="1"/>
    <s v="Maharashtra"/>
    <x v="3"/>
    <s v="Interest"/>
    <n v="0"/>
    <n v="0"/>
    <n v="0"/>
    <n v="0"/>
    <n v="7036.72"/>
    <x v="50"/>
    <n v="45"/>
    <s v="Male"/>
    <n v="1722207"/>
    <x v="1"/>
    <x v="0"/>
    <s v="S. Kumar"/>
  </r>
  <r>
    <s v="T100053"/>
    <x v="50"/>
    <x v="9"/>
    <x v="45"/>
    <x v="6"/>
    <s v="Maharashtra"/>
    <x v="1"/>
    <s v="Deposit"/>
    <n v="99266"/>
    <n v="0"/>
    <n v="0"/>
    <n v="0"/>
    <n v="0"/>
    <x v="51"/>
    <n v="33"/>
    <s v="Female"/>
    <n v="2137848"/>
    <x v="1"/>
    <x v="0"/>
    <s v="P. Singh"/>
  </r>
  <r>
    <s v="T100054"/>
    <x v="41"/>
    <x v="1"/>
    <x v="46"/>
    <x v="3"/>
    <s v="Telangana"/>
    <x v="1"/>
    <s v="Withdrawal"/>
    <n v="0"/>
    <n v="57267"/>
    <n v="0"/>
    <n v="0"/>
    <n v="0"/>
    <x v="52"/>
    <n v="30"/>
    <s v="Male"/>
    <n v="2977973"/>
    <x v="0"/>
    <x v="0"/>
    <s v="R. Patel"/>
  </r>
  <r>
    <s v="T100055"/>
    <x v="51"/>
    <x v="11"/>
    <x v="1"/>
    <x v="1"/>
    <s v="Maharashtra"/>
    <x v="2"/>
    <s v="Withdrawal"/>
    <n v="0"/>
    <n v="82076"/>
    <n v="0"/>
    <n v="0"/>
    <n v="0"/>
    <x v="53"/>
    <n v="68"/>
    <s v="Male"/>
    <n v="2619288"/>
    <x v="0"/>
    <x v="0"/>
    <s v="R. Patel"/>
  </r>
  <r>
    <s v="T100056"/>
    <x v="52"/>
    <x v="11"/>
    <x v="47"/>
    <x v="4"/>
    <s v="Delhi"/>
    <x v="1"/>
    <s v="Interest"/>
    <n v="0"/>
    <n v="0"/>
    <n v="0"/>
    <n v="0"/>
    <n v="4390.28"/>
    <x v="54"/>
    <n v="49"/>
    <s v="Female"/>
    <n v="2026587"/>
    <x v="1"/>
    <x v="0"/>
    <s v="A. Sharma"/>
  </r>
  <r>
    <s v="T100057"/>
    <x v="53"/>
    <x v="4"/>
    <x v="48"/>
    <x v="3"/>
    <s v="Delhi"/>
    <x v="1"/>
    <s v="Deposit"/>
    <n v="131782"/>
    <n v="0"/>
    <n v="0"/>
    <n v="0"/>
    <n v="0"/>
    <x v="55"/>
    <n v="35"/>
    <s v="Female"/>
    <n v="605774"/>
    <x v="0"/>
    <x v="0"/>
    <s v="A. Sharma"/>
  </r>
  <r>
    <s v="T100058"/>
    <x v="16"/>
    <x v="9"/>
    <x v="49"/>
    <x v="1"/>
    <s v="Tamil Nadu"/>
    <x v="1"/>
    <s v="Loan"/>
    <n v="0"/>
    <n v="0"/>
    <n v="1324999"/>
    <n v="0"/>
    <n v="0"/>
    <x v="54"/>
    <n v="31"/>
    <s v="Male"/>
    <n v="1797179"/>
    <x v="0"/>
    <x v="2"/>
    <s v="R. Patel"/>
  </r>
  <r>
    <s v="T100059"/>
    <x v="54"/>
    <x v="7"/>
    <x v="50"/>
    <x v="0"/>
    <s v="Telangana"/>
    <x v="0"/>
    <s v="Withdrawal"/>
    <n v="0"/>
    <n v="40133"/>
    <n v="0"/>
    <n v="0"/>
    <n v="0"/>
    <x v="56"/>
    <n v="33"/>
    <s v="Female"/>
    <n v="2695882"/>
    <x v="1"/>
    <x v="0"/>
    <s v="A. Sharma"/>
  </r>
  <r>
    <s v="T100060"/>
    <x v="55"/>
    <x v="5"/>
    <x v="51"/>
    <x v="3"/>
    <s v="Telangana"/>
    <x v="0"/>
    <s v="Withdrawal"/>
    <n v="0"/>
    <n v="16174"/>
    <n v="0"/>
    <n v="0"/>
    <n v="0"/>
    <x v="14"/>
    <n v="56"/>
    <s v="Male"/>
    <n v="2965425"/>
    <x v="1"/>
    <x v="0"/>
    <s v="S. Kumar"/>
  </r>
  <r>
    <s v="T100061"/>
    <x v="56"/>
    <x v="2"/>
    <x v="52"/>
    <x v="2"/>
    <s v="Delhi"/>
    <x v="1"/>
    <s v="Deposit"/>
    <n v="2109"/>
    <n v="0"/>
    <n v="0"/>
    <n v="0"/>
    <n v="0"/>
    <x v="57"/>
    <n v="25"/>
    <s v="Female"/>
    <n v="1810956"/>
    <x v="0"/>
    <x v="0"/>
    <s v="P. Singh"/>
  </r>
  <r>
    <s v="T100062"/>
    <x v="39"/>
    <x v="11"/>
    <x v="53"/>
    <x v="4"/>
    <s v="Maharashtra"/>
    <x v="3"/>
    <s v="Deposit"/>
    <n v="69237"/>
    <n v="0"/>
    <n v="0"/>
    <n v="0"/>
    <n v="0"/>
    <x v="58"/>
    <n v="44"/>
    <s v="Male"/>
    <n v="2371495"/>
    <x v="1"/>
    <x v="0"/>
    <s v="S. Kumar"/>
  </r>
  <r>
    <s v="T100063"/>
    <x v="6"/>
    <x v="5"/>
    <x v="54"/>
    <x v="5"/>
    <s v="Karnataka"/>
    <x v="1"/>
    <s v="Interest"/>
    <n v="0"/>
    <n v="0"/>
    <n v="0"/>
    <n v="0"/>
    <n v="2948.76"/>
    <x v="59"/>
    <n v="26"/>
    <s v="Male"/>
    <n v="2921366"/>
    <x v="0"/>
    <x v="0"/>
    <s v="R. Patel"/>
  </r>
  <r>
    <s v="T100064"/>
    <x v="57"/>
    <x v="2"/>
    <x v="55"/>
    <x v="3"/>
    <s v="Karnataka"/>
    <x v="3"/>
    <s v="Withdrawal"/>
    <n v="0"/>
    <n v="57836"/>
    <n v="0"/>
    <n v="0"/>
    <n v="0"/>
    <x v="60"/>
    <n v="23"/>
    <s v="Female"/>
    <n v="758553"/>
    <x v="0"/>
    <x v="0"/>
    <s v="R. Patel"/>
  </r>
  <r>
    <s v="T100065"/>
    <x v="58"/>
    <x v="11"/>
    <x v="56"/>
    <x v="4"/>
    <s v="Karnataka"/>
    <x v="2"/>
    <s v="Withdrawal"/>
    <n v="0"/>
    <n v="51568"/>
    <n v="0"/>
    <n v="0"/>
    <n v="0"/>
    <x v="61"/>
    <n v="63"/>
    <s v="Male"/>
    <n v="1978040"/>
    <x v="0"/>
    <x v="0"/>
    <s v="R. Patel"/>
  </r>
  <r>
    <s v="T100066"/>
    <x v="59"/>
    <x v="10"/>
    <x v="57"/>
    <x v="3"/>
    <s v="Telangana"/>
    <x v="3"/>
    <s v="Interest"/>
    <n v="0"/>
    <n v="0"/>
    <n v="0"/>
    <n v="0"/>
    <n v="4413.1099999999997"/>
    <x v="62"/>
    <n v="58"/>
    <s v="Female"/>
    <n v="2930889"/>
    <x v="1"/>
    <x v="0"/>
    <s v="N. Rao"/>
  </r>
  <r>
    <s v="T100067"/>
    <x v="60"/>
    <x v="6"/>
    <x v="58"/>
    <x v="0"/>
    <s v="Tamil Nadu"/>
    <x v="0"/>
    <s v="EMI"/>
    <n v="0"/>
    <n v="0"/>
    <n v="0"/>
    <n v="38986"/>
    <n v="0"/>
    <x v="63"/>
    <n v="66"/>
    <s v="Male"/>
    <n v="1787767"/>
    <x v="0"/>
    <x v="4"/>
    <s v="R. Patel"/>
  </r>
  <r>
    <s v="T100068"/>
    <x v="61"/>
    <x v="4"/>
    <x v="59"/>
    <x v="1"/>
    <s v="Karnataka"/>
    <x v="2"/>
    <s v="Interest"/>
    <n v="0"/>
    <n v="0"/>
    <n v="0"/>
    <n v="0"/>
    <n v="5558"/>
    <x v="64"/>
    <n v="61"/>
    <s v="Male"/>
    <n v="803991"/>
    <x v="0"/>
    <x v="0"/>
    <s v="P. Singh"/>
  </r>
  <r>
    <s v="T100069"/>
    <x v="29"/>
    <x v="6"/>
    <x v="60"/>
    <x v="0"/>
    <s v="Telangana"/>
    <x v="0"/>
    <s v="Loan"/>
    <n v="0"/>
    <n v="0"/>
    <n v="1953241"/>
    <n v="0"/>
    <n v="0"/>
    <x v="65"/>
    <n v="38"/>
    <s v="Male"/>
    <n v="1166308"/>
    <x v="1"/>
    <x v="2"/>
    <s v="S. Kumar"/>
  </r>
  <r>
    <s v="T100070"/>
    <x v="62"/>
    <x v="4"/>
    <x v="61"/>
    <x v="0"/>
    <s v="Karnataka"/>
    <x v="0"/>
    <s v="Loan"/>
    <n v="0"/>
    <n v="0"/>
    <n v="1044845"/>
    <n v="0"/>
    <n v="0"/>
    <x v="66"/>
    <n v="43"/>
    <s v="Male"/>
    <n v="2139785"/>
    <x v="0"/>
    <x v="1"/>
    <s v="P. Singh"/>
  </r>
  <r>
    <s v="T100071"/>
    <x v="63"/>
    <x v="10"/>
    <x v="28"/>
    <x v="0"/>
    <s v="Delhi"/>
    <x v="1"/>
    <s v="Loan"/>
    <n v="0"/>
    <n v="0"/>
    <n v="440668"/>
    <n v="0"/>
    <n v="0"/>
    <x v="67"/>
    <n v="44"/>
    <s v="Male"/>
    <n v="2751347"/>
    <x v="0"/>
    <x v="1"/>
    <s v="R. Patel"/>
  </r>
  <r>
    <s v="T100072"/>
    <x v="64"/>
    <x v="3"/>
    <x v="46"/>
    <x v="4"/>
    <s v="Maharashtra"/>
    <x v="1"/>
    <s v="EMI"/>
    <n v="0"/>
    <n v="0"/>
    <n v="0"/>
    <n v="40391"/>
    <n v="0"/>
    <x v="68"/>
    <n v="54"/>
    <s v="Female"/>
    <n v="1179093"/>
    <x v="1"/>
    <x v="3"/>
    <s v="S. Kumar"/>
  </r>
  <r>
    <s v="T100073"/>
    <x v="65"/>
    <x v="2"/>
    <x v="62"/>
    <x v="5"/>
    <s v="Maharashtra"/>
    <x v="0"/>
    <s v="Loan"/>
    <n v="0"/>
    <n v="0"/>
    <n v="1067990"/>
    <n v="0"/>
    <n v="0"/>
    <x v="69"/>
    <n v="32"/>
    <s v="Female"/>
    <n v="1434660"/>
    <x v="0"/>
    <x v="2"/>
    <s v="P. Singh"/>
  </r>
  <r>
    <s v="T100074"/>
    <x v="66"/>
    <x v="4"/>
    <x v="63"/>
    <x v="0"/>
    <s v="Tamil Nadu"/>
    <x v="1"/>
    <s v="Deposit"/>
    <n v="131773"/>
    <n v="0"/>
    <n v="0"/>
    <n v="0"/>
    <n v="0"/>
    <x v="70"/>
    <n v="39"/>
    <s v="Female"/>
    <n v="1215877"/>
    <x v="0"/>
    <x v="0"/>
    <s v="A. Sharma"/>
  </r>
  <r>
    <s v="T100075"/>
    <x v="67"/>
    <x v="9"/>
    <x v="64"/>
    <x v="2"/>
    <s v="Delhi"/>
    <x v="0"/>
    <s v="Deposit"/>
    <n v="188896"/>
    <n v="0"/>
    <n v="0"/>
    <n v="0"/>
    <n v="0"/>
    <x v="71"/>
    <n v="52"/>
    <s v="Female"/>
    <n v="1478345"/>
    <x v="0"/>
    <x v="0"/>
    <s v="S. Kumar"/>
  </r>
  <r>
    <s v="T100076"/>
    <x v="68"/>
    <x v="9"/>
    <x v="47"/>
    <x v="3"/>
    <s v="Telangana"/>
    <x v="2"/>
    <s v="Interest"/>
    <n v="0"/>
    <n v="0"/>
    <n v="0"/>
    <n v="0"/>
    <n v="3551.48"/>
    <x v="72"/>
    <n v="33"/>
    <s v="Female"/>
    <n v="2516049"/>
    <x v="1"/>
    <x v="0"/>
    <s v="N. Rao"/>
  </r>
  <r>
    <s v="T100077"/>
    <x v="69"/>
    <x v="4"/>
    <x v="65"/>
    <x v="3"/>
    <s v="Karnataka"/>
    <x v="3"/>
    <s v="EMI"/>
    <n v="0"/>
    <n v="0"/>
    <n v="0"/>
    <n v="33694"/>
    <n v="0"/>
    <x v="73"/>
    <n v="60"/>
    <s v="Female"/>
    <n v="2971914"/>
    <x v="0"/>
    <x v="3"/>
    <s v="S. Kumar"/>
  </r>
  <r>
    <s v="T100078"/>
    <x v="70"/>
    <x v="6"/>
    <x v="18"/>
    <x v="3"/>
    <s v="Delhi"/>
    <x v="2"/>
    <s v="Loan"/>
    <n v="0"/>
    <n v="0"/>
    <n v="573062"/>
    <n v="0"/>
    <n v="0"/>
    <x v="69"/>
    <n v="31"/>
    <s v="Female"/>
    <n v="1939423"/>
    <x v="0"/>
    <x v="2"/>
    <s v="A. Sharma"/>
  </r>
  <r>
    <s v="T100079"/>
    <x v="7"/>
    <x v="6"/>
    <x v="40"/>
    <x v="5"/>
    <s v="Telangana"/>
    <x v="3"/>
    <s v="Deposit"/>
    <n v="26520"/>
    <n v="0"/>
    <n v="0"/>
    <n v="0"/>
    <n v="0"/>
    <x v="30"/>
    <n v="31"/>
    <s v="Female"/>
    <n v="2022227"/>
    <x v="0"/>
    <x v="0"/>
    <s v="N. Rao"/>
  </r>
  <r>
    <s v="T100080"/>
    <x v="46"/>
    <x v="8"/>
    <x v="66"/>
    <x v="6"/>
    <s v="Telangana"/>
    <x v="2"/>
    <s v="Withdrawal"/>
    <n v="0"/>
    <n v="50980"/>
    <n v="0"/>
    <n v="0"/>
    <n v="0"/>
    <x v="74"/>
    <n v="68"/>
    <s v="Male"/>
    <n v="1601921"/>
    <x v="1"/>
    <x v="0"/>
    <s v="P. Singh"/>
  </r>
  <r>
    <s v="T100081"/>
    <x v="71"/>
    <x v="9"/>
    <x v="67"/>
    <x v="5"/>
    <s v="Delhi"/>
    <x v="3"/>
    <s v="Interest"/>
    <n v="0"/>
    <n v="0"/>
    <n v="0"/>
    <n v="0"/>
    <n v="7253.8"/>
    <x v="75"/>
    <n v="22"/>
    <s v="Female"/>
    <n v="1014200"/>
    <x v="1"/>
    <x v="0"/>
    <s v="S. Kumar"/>
  </r>
  <r>
    <s v="T100082"/>
    <x v="72"/>
    <x v="6"/>
    <x v="68"/>
    <x v="1"/>
    <s v="Delhi"/>
    <x v="3"/>
    <s v="Withdrawal"/>
    <n v="0"/>
    <n v="17712"/>
    <n v="0"/>
    <n v="0"/>
    <n v="0"/>
    <x v="76"/>
    <n v="35"/>
    <s v="Male"/>
    <n v="2071602"/>
    <x v="0"/>
    <x v="0"/>
    <s v="A. Sharma"/>
  </r>
  <r>
    <s v="T100083"/>
    <x v="73"/>
    <x v="6"/>
    <x v="69"/>
    <x v="0"/>
    <s v="Karnataka"/>
    <x v="3"/>
    <s v="EMI"/>
    <n v="0"/>
    <n v="0"/>
    <n v="0"/>
    <n v="31080"/>
    <n v="0"/>
    <x v="77"/>
    <n v="52"/>
    <s v="Male"/>
    <n v="1628862"/>
    <x v="0"/>
    <x v="4"/>
    <s v="P. Singh"/>
  </r>
  <r>
    <s v="T100084"/>
    <x v="74"/>
    <x v="8"/>
    <x v="57"/>
    <x v="1"/>
    <s v="Tamil Nadu"/>
    <x v="1"/>
    <s v="EMI"/>
    <n v="0"/>
    <n v="0"/>
    <n v="0"/>
    <n v="40431"/>
    <n v="0"/>
    <x v="78"/>
    <n v="65"/>
    <s v="Male"/>
    <n v="1360619"/>
    <x v="0"/>
    <x v="1"/>
    <s v="P. Singh"/>
  </r>
  <r>
    <s v="T100085"/>
    <x v="37"/>
    <x v="3"/>
    <x v="70"/>
    <x v="3"/>
    <s v="Telangana"/>
    <x v="0"/>
    <s v="Loan"/>
    <n v="0"/>
    <n v="0"/>
    <n v="1694049"/>
    <n v="0"/>
    <n v="0"/>
    <x v="44"/>
    <n v="61"/>
    <s v="Male"/>
    <n v="673503"/>
    <x v="0"/>
    <x v="1"/>
    <s v="A. Sharma"/>
  </r>
  <r>
    <s v="T100086"/>
    <x v="75"/>
    <x v="8"/>
    <x v="71"/>
    <x v="4"/>
    <s v="Maharashtra"/>
    <x v="1"/>
    <s v="Deposit"/>
    <n v="15281"/>
    <n v="0"/>
    <n v="0"/>
    <n v="0"/>
    <n v="0"/>
    <x v="79"/>
    <n v="66"/>
    <s v="Female"/>
    <n v="2728752"/>
    <x v="1"/>
    <x v="0"/>
    <s v="S. Kumar"/>
  </r>
  <r>
    <s v="T100087"/>
    <x v="38"/>
    <x v="4"/>
    <x v="72"/>
    <x v="4"/>
    <s v="Delhi"/>
    <x v="1"/>
    <s v="EMI"/>
    <n v="0"/>
    <n v="0"/>
    <n v="0"/>
    <n v="20603"/>
    <n v="0"/>
    <x v="80"/>
    <n v="51"/>
    <s v="Female"/>
    <n v="2713228"/>
    <x v="1"/>
    <x v="4"/>
    <s v="P. Singh"/>
  </r>
  <r>
    <s v="T100088"/>
    <x v="76"/>
    <x v="7"/>
    <x v="73"/>
    <x v="4"/>
    <s v="Karnataka"/>
    <x v="2"/>
    <s v="Loan"/>
    <n v="0"/>
    <n v="0"/>
    <n v="585319"/>
    <n v="0"/>
    <n v="0"/>
    <x v="81"/>
    <n v="31"/>
    <s v="Female"/>
    <n v="1449255"/>
    <x v="0"/>
    <x v="1"/>
    <s v="P. Singh"/>
  </r>
  <r>
    <s v="T100089"/>
    <x v="77"/>
    <x v="1"/>
    <x v="74"/>
    <x v="0"/>
    <s v="Telangana"/>
    <x v="3"/>
    <s v="EMI"/>
    <n v="0"/>
    <n v="0"/>
    <n v="0"/>
    <n v="49056"/>
    <n v="0"/>
    <x v="82"/>
    <n v="36"/>
    <s v="Male"/>
    <n v="2521291"/>
    <x v="0"/>
    <x v="3"/>
    <s v="S. Kumar"/>
  </r>
  <r>
    <s v="T100090"/>
    <x v="78"/>
    <x v="4"/>
    <x v="75"/>
    <x v="2"/>
    <s v="Telangana"/>
    <x v="1"/>
    <s v="Loan"/>
    <n v="0"/>
    <n v="0"/>
    <n v="1922883"/>
    <n v="0"/>
    <n v="0"/>
    <x v="83"/>
    <n v="42"/>
    <s v="Male"/>
    <n v="2117111"/>
    <x v="0"/>
    <x v="2"/>
    <s v="P. Singh"/>
  </r>
  <r>
    <s v="T100091"/>
    <x v="79"/>
    <x v="0"/>
    <x v="76"/>
    <x v="5"/>
    <s v="Karnataka"/>
    <x v="2"/>
    <s v="Interest"/>
    <n v="0"/>
    <n v="0"/>
    <n v="0"/>
    <n v="0"/>
    <n v="2681.99"/>
    <x v="84"/>
    <n v="64"/>
    <s v="Male"/>
    <n v="2765837"/>
    <x v="0"/>
    <x v="0"/>
    <s v="R. Patel"/>
  </r>
  <r>
    <s v="T100092"/>
    <x v="80"/>
    <x v="0"/>
    <x v="77"/>
    <x v="2"/>
    <s v="Telangana"/>
    <x v="0"/>
    <s v="Deposit"/>
    <n v="148061"/>
    <n v="0"/>
    <n v="0"/>
    <n v="0"/>
    <n v="0"/>
    <x v="34"/>
    <n v="48"/>
    <s v="Male"/>
    <n v="1247611"/>
    <x v="0"/>
    <x v="0"/>
    <s v="A. Sharma"/>
  </r>
  <r>
    <s v="T100093"/>
    <x v="81"/>
    <x v="4"/>
    <x v="78"/>
    <x v="3"/>
    <s v="Karnataka"/>
    <x v="2"/>
    <s v="Deposit"/>
    <n v="59699"/>
    <n v="0"/>
    <n v="0"/>
    <n v="0"/>
    <n v="0"/>
    <x v="85"/>
    <n v="52"/>
    <s v="Male"/>
    <n v="639116"/>
    <x v="0"/>
    <x v="0"/>
    <s v="P. Singh"/>
  </r>
  <r>
    <s v="T100094"/>
    <x v="82"/>
    <x v="3"/>
    <x v="79"/>
    <x v="3"/>
    <s v="Tamil Nadu"/>
    <x v="1"/>
    <s v="Loan"/>
    <n v="0"/>
    <n v="0"/>
    <n v="1891385"/>
    <n v="0"/>
    <n v="0"/>
    <x v="48"/>
    <n v="38"/>
    <s v="Female"/>
    <n v="319097"/>
    <x v="0"/>
    <x v="2"/>
    <s v="A. Sharma"/>
  </r>
  <r>
    <s v="T100095"/>
    <x v="72"/>
    <x v="6"/>
    <x v="80"/>
    <x v="1"/>
    <s v="Tamil Nadu"/>
    <x v="0"/>
    <s v="Loan"/>
    <n v="0"/>
    <n v="0"/>
    <n v="1733743"/>
    <n v="0"/>
    <n v="0"/>
    <x v="51"/>
    <n v="18"/>
    <s v="Male"/>
    <n v="2080827"/>
    <x v="0"/>
    <x v="2"/>
    <s v="N. Rao"/>
  </r>
  <r>
    <s v="T100096"/>
    <x v="31"/>
    <x v="4"/>
    <x v="81"/>
    <x v="4"/>
    <s v="Karnataka"/>
    <x v="1"/>
    <s v="Deposit"/>
    <n v="85165"/>
    <n v="0"/>
    <n v="0"/>
    <n v="0"/>
    <n v="0"/>
    <x v="86"/>
    <n v="67"/>
    <s v="Male"/>
    <n v="908810"/>
    <x v="1"/>
    <x v="0"/>
    <s v="N. Rao"/>
  </r>
  <r>
    <s v="T100097"/>
    <x v="76"/>
    <x v="7"/>
    <x v="82"/>
    <x v="5"/>
    <s v="Karnataka"/>
    <x v="0"/>
    <s v="Deposit"/>
    <n v="147884"/>
    <n v="0"/>
    <n v="0"/>
    <n v="0"/>
    <n v="0"/>
    <x v="87"/>
    <n v="66"/>
    <s v="Female"/>
    <n v="2674189"/>
    <x v="1"/>
    <x v="0"/>
    <s v="N. Rao"/>
  </r>
  <r>
    <s v="T100098"/>
    <x v="29"/>
    <x v="6"/>
    <x v="83"/>
    <x v="3"/>
    <s v="Maharashtra"/>
    <x v="0"/>
    <s v="Withdrawal"/>
    <n v="0"/>
    <n v="15867"/>
    <n v="0"/>
    <n v="0"/>
    <n v="0"/>
    <x v="23"/>
    <n v="24"/>
    <s v="Female"/>
    <n v="1625289"/>
    <x v="1"/>
    <x v="0"/>
    <s v="A. Sharma"/>
  </r>
  <r>
    <s v="T100099"/>
    <x v="83"/>
    <x v="11"/>
    <x v="84"/>
    <x v="2"/>
    <s v="Karnataka"/>
    <x v="1"/>
    <s v="EMI"/>
    <n v="0"/>
    <n v="0"/>
    <n v="0"/>
    <n v="27672"/>
    <n v="0"/>
    <x v="88"/>
    <n v="67"/>
    <s v="Female"/>
    <n v="585771"/>
    <x v="1"/>
    <x v="1"/>
    <s v="A. Sharma"/>
  </r>
  <r>
    <s v="T100100"/>
    <x v="84"/>
    <x v="9"/>
    <x v="85"/>
    <x v="3"/>
    <s v="Telangana"/>
    <x v="1"/>
    <s v="Withdrawal"/>
    <n v="0"/>
    <n v="52047"/>
    <n v="0"/>
    <n v="0"/>
    <n v="0"/>
    <x v="89"/>
    <n v="59"/>
    <s v="Female"/>
    <n v="1549202"/>
    <x v="1"/>
    <x v="0"/>
    <s v="S. Kumar"/>
  </r>
  <r>
    <s v="T100101"/>
    <x v="85"/>
    <x v="4"/>
    <x v="80"/>
    <x v="4"/>
    <s v="Telangana"/>
    <x v="1"/>
    <s v="Loan"/>
    <n v="0"/>
    <n v="0"/>
    <n v="841433"/>
    <n v="0"/>
    <n v="0"/>
    <x v="90"/>
    <n v="20"/>
    <s v="Female"/>
    <n v="1972086"/>
    <x v="1"/>
    <x v="2"/>
    <s v="S. Kumar"/>
  </r>
  <r>
    <s v="T100102"/>
    <x v="86"/>
    <x v="0"/>
    <x v="86"/>
    <x v="2"/>
    <s v="Delhi"/>
    <x v="2"/>
    <s v="Interest"/>
    <n v="0"/>
    <n v="0"/>
    <n v="0"/>
    <n v="0"/>
    <n v="1808.92"/>
    <x v="91"/>
    <n v="48"/>
    <s v="Female"/>
    <n v="450865"/>
    <x v="1"/>
    <x v="0"/>
    <s v="R. Patel"/>
  </r>
  <r>
    <s v="T100103"/>
    <x v="87"/>
    <x v="3"/>
    <x v="87"/>
    <x v="5"/>
    <s v="Delhi"/>
    <x v="0"/>
    <s v="Loan"/>
    <n v="0"/>
    <n v="0"/>
    <n v="1595803"/>
    <n v="0"/>
    <n v="0"/>
    <x v="68"/>
    <n v="63"/>
    <s v="Male"/>
    <n v="1557482"/>
    <x v="1"/>
    <x v="1"/>
    <s v="A. Sharma"/>
  </r>
  <r>
    <s v="T100104"/>
    <x v="77"/>
    <x v="1"/>
    <x v="88"/>
    <x v="3"/>
    <s v="Maharashtra"/>
    <x v="3"/>
    <s v="Withdrawal"/>
    <n v="0"/>
    <n v="98045"/>
    <n v="0"/>
    <n v="0"/>
    <n v="0"/>
    <x v="92"/>
    <n v="21"/>
    <s v="Male"/>
    <n v="2820144"/>
    <x v="0"/>
    <x v="0"/>
    <s v="S. Kumar"/>
  </r>
  <r>
    <s v="T100105"/>
    <x v="60"/>
    <x v="6"/>
    <x v="68"/>
    <x v="4"/>
    <s v="Maharashtra"/>
    <x v="0"/>
    <s v="Deposit"/>
    <n v="67555"/>
    <n v="0"/>
    <n v="0"/>
    <n v="0"/>
    <n v="0"/>
    <x v="93"/>
    <n v="52"/>
    <s v="Female"/>
    <n v="1849475"/>
    <x v="1"/>
    <x v="0"/>
    <s v="N. Rao"/>
  </r>
  <r>
    <s v="T100106"/>
    <x v="88"/>
    <x v="7"/>
    <x v="89"/>
    <x v="0"/>
    <s v="Telangana"/>
    <x v="0"/>
    <s v="Deposit"/>
    <n v="7788"/>
    <n v="0"/>
    <n v="0"/>
    <n v="0"/>
    <n v="0"/>
    <x v="48"/>
    <n v="54"/>
    <s v="Male"/>
    <n v="2872841"/>
    <x v="1"/>
    <x v="0"/>
    <s v="P. Singh"/>
  </r>
  <r>
    <s v="T100107"/>
    <x v="89"/>
    <x v="10"/>
    <x v="90"/>
    <x v="2"/>
    <s v="Tamil Nadu"/>
    <x v="1"/>
    <s v="Loan"/>
    <n v="0"/>
    <n v="0"/>
    <n v="0"/>
    <n v="0"/>
    <n v="0"/>
    <x v="94"/>
    <n v="68"/>
    <s v="Male"/>
    <n v="1409564"/>
    <x v="0"/>
    <x v="2"/>
    <s v="N. Rao"/>
  </r>
  <r>
    <s v="T100108"/>
    <x v="90"/>
    <x v="0"/>
    <x v="91"/>
    <x v="5"/>
    <s v="Telangana"/>
    <x v="2"/>
    <s v="Deposit"/>
    <n v="105345"/>
    <n v="0"/>
    <n v="0"/>
    <n v="0"/>
    <n v="0"/>
    <x v="95"/>
    <n v="43"/>
    <s v="Male"/>
    <n v="1846423"/>
    <x v="1"/>
    <x v="0"/>
    <s v="S. Kumar"/>
  </r>
  <r>
    <s v="T100109"/>
    <x v="37"/>
    <x v="3"/>
    <x v="92"/>
    <x v="2"/>
    <s v="Delhi"/>
    <x v="0"/>
    <s v="Withdrawal"/>
    <n v="0"/>
    <n v="18289"/>
    <n v="0"/>
    <n v="0"/>
    <n v="0"/>
    <x v="96"/>
    <n v="42"/>
    <s v="Female"/>
    <n v="852471"/>
    <x v="0"/>
    <x v="0"/>
    <s v="A. Sharma"/>
  </r>
  <r>
    <s v="T100110"/>
    <x v="91"/>
    <x v="2"/>
    <x v="35"/>
    <x v="2"/>
    <s v="Karnataka"/>
    <x v="0"/>
    <s v="Interest"/>
    <n v="0"/>
    <n v="0"/>
    <n v="0"/>
    <n v="0"/>
    <n v="6887.6"/>
    <x v="97"/>
    <n v="23"/>
    <s v="Female"/>
    <n v="1998657"/>
    <x v="0"/>
    <x v="0"/>
    <s v="P. Singh"/>
  </r>
  <r>
    <s v="T100111"/>
    <x v="92"/>
    <x v="5"/>
    <x v="93"/>
    <x v="3"/>
    <s v="Tamil Nadu"/>
    <x v="1"/>
    <s v="Loan"/>
    <n v="0"/>
    <n v="0"/>
    <n v="1740166"/>
    <n v="0"/>
    <n v="0"/>
    <x v="98"/>
    <n v="68"/>
    <s v="Male"/>
    <n v="1340613"/>
    <x v="1"/>
    <x v="2"/>
    <s v="S. Kumar"/>
  </r>
  <r>
    <s v="T100112"/>
    <x v="66"/>
    <x v="4"/>
    <x v="94"/>
    <x v="0"/>
    <s v="Maharashtra"/>
    <x v="1"/>
    <s v="Deposit"/>
    <n v="103089"/>
    <n v="0"/>
    <n v="0"/>
    <n v="0"/>
    <n v="0"/>
    <x v="99"/>
    <n v="25"/>
    <s v="Female"/>
    <n v="1027566"/>
    <x v="1"/>
    <x v="0"/>
    <s v="R. Patel"/>
  </r>
  <r>
    <s v="T100113"/>
    <x v="67"/>
    <x v="9"/>
    <x v="92"/>
    <x v="1"/>
    <s v="Delhi"/>
    <x v="0"/>
    <s v="Interest"/>
    <n v="0"/>
    <n v="0"/>
    <n v="0"/>
    <n v="0"/>
    <n v="9295"/>
    <x v="100"/>
    <n v="63"/>
    <s v="Male"/>
    <n v="311761"/>
    <x v="0"/>
    <x v="0"/>
    <s v="S. Kumar"/>
  </r>
  <r>
    <s v="T100114"/>
    <x v="4"/>
    <x v="1"/>
    <x v="82"/>
    <x v="4"/>
    <s v="Telangana"/>
    <x v="2"/>
    <s v="Deposit"/>
    <n v="37742"/>
    <n v="0"/>
    <n v="0"/>
    <n v="0"/>
    <n v="0"/>
    <x v="101"/>
    <n v="21"/>
    <s v="Female"/>
    <n v="2197242"/>
    <x v="1"/>
    <x v="0"/>
    <s v="R. Patel"/>
  </r>
  <r>
    <s v="T100115"/>
    <x v="93"/>
    <x v="6"/>
    <x v="95"/>
    <x v="4"/>
    <s v="Telangana"/>
    <x v="2"/>
    <s v="Loan"/>
    <n v="0"/>
    <n v="0"/>
    <n v="935174"/>
    <n v="0"/>
    <n v="0"/>
    <x v="102"/>
    <n v="64"/>
    <s v="Female"/>
    <n v="1601778"/>
    <x v="0"/>
    <x v="2"/>
    <s v="R. Patel"/>
  </r>
  <r>
    <s v="T100116"/>
    <x v="94"/>
    <x v="7"/>
    <x v="96"/>
    <x v="0"/>
    <s v="Maharashtra"/>
    <x v="2"/>
    <s v="Interest"/>
    <n v="0"/>
    <n v="0"/>
    <n v="0"/>
    <n v="0"/>
    <n v="5195.41"/>
    <x v="17"/>
    <n v="34"/>
    <s v="Male"/>
    <n v="697923"/>
    <x v="0"/>
    <x v="0"/>
    <s v="S. Kumar"/>
  </r>
  <r>
    <s v="T100117"/>
    <x v="0"/>
    <x v="0"/>
    <x v="97"/>
    <x v="2"/>
    <s v="Maharashtra"/>
    <x v="3"/>
    <s v="Withdrawal"/>
    <n v="0"/>
    <n v="6027"/>
    <n v="0"/>
    <n v="0"/>
    <n v="0"/>
    <x v="103"/>
    <n v="27"/>
    <s v="Male"/>
    <n v="430330"/>
    <x v="0"/>
    <x v="0"/>
    <s v="S. Kumar"/>
  </r>
  <r>
    <s v="T100118"/>
    <x v="95"/>
    <x v="4"/>
    <x v="98"/>
    <x v="3"/>
    <s v="Maharashtra"/>
    <x v="2"/>
    <s v="Withdrawal"/>
    <n v="0"/>
    <n v="46797"/>
    <n v="0"/>
    <n v="0"/>
    <n v="0"/>
    <x v="104"/>
    <n v="36"/>
    <s v="Female"/>
    <n v="826956"/>
    <x v="0"/>
    <x v="0"/>
    <s v="A. Sharma"/>
  </r>
  <r>
    <s v="T100119"/>
    <x v="96"/>
    <x v="10"/>
    <x v="99"/>
    <x v="5"/>
    <s v="Karnataka"/>
    <x v="3"/>
    <s v="Deposit"/>
    <n v="105342"/>
    <n v="0"/>
    <n v="0"/>
    <n v="0"/>
    <n v="0"/>
    <x v="105"/>
    <n v="35"/>
    <s v="Male"/>
    <n v="1539489"/>
    <x v="1"/>
    <x v="0"/>
    <s v="A. Sharma"/>
  </r>
  <r>
    <s v="T100120"/>
    <x v="97"/>
    <x v="5"/>
    <x v="100"/>
    <x v="5"/>
    <s v="Delhi"/>
    <x v="3"/>
    <s v="Deposit"/>
    <n v="168228"/>
    <n v="0"/>
    <n v="0"/>
    <n v="0"/>
    <n v="0"/>
    <x v="106"/>
    <n v="33"/>
    <s v="Female"/>
    <n v="2143491"/>
    <x v="0"/>
    <x v="0"/>
    <s v="A. Sharma"/>
  </r>
  <r>
    <s v="T100121"/>
    <x v="98"/>
    <x v="1"/>
    <x v="101"/>
    <x v="2"/>
    <s v="Tamil Nadu"/>
    <x v="0"/>
    <s v="EMI"/>
    <n v="0"/>
    <n v="0"/>
    <n v="0"/>
    <n v="5811"/>
    <n v="0"/>
    <x v="107"/>
    <n v="36"/>
    <s v="Female"/>
    <n v="527932"/>
    <x v="0"/>
    <x v="3"/>
    <s v="P. Singh"/>
  </r>
  <r>
    <s v="T100122"/>
    <x v="30"/>
    <x v="0"/>
    <x v="102"/>
    <x v="0"/>
    <s v="Tamil Nadu"/>
    <x v="0"/>
    <s v="Withdrawal"/>
    <n v="0"/>
    <n v="79132"/>
    <n v="0"/>
    <n v="0"/>
    <n v="0"/>
    <x v="108"/>
    <n v="31"/>
    <s v="Male"/>
    <n v="2207211"/>
    <x v="0"/>
    <x v="0"/>
    <s v="N. Rao"/>
  </r>
  <r>
    <s v="T100123"/>
    <x v="99"/>
    <x v="2"/>
    <x v="103"/>
    <x v="3"/>
    <s v="Delhi"/>
    <x v="2"/>
    <s v="EMI"/>
    <n v="0"/>
    <n v="0"/>
    <n v="0"/>
    <n v="21027"/>
    <n v="0"/>
    <x v="109"/>
    <n v="40"/>
    <s v="Female"/>
    <n v="934535"/>
    <x v="0"/>
    <x v="4"/>
    <s v="S. Kumar"/>
  </r>
  <r>
    <s v="T100125"/>
    <x v="100"/>
    <x v="8"/>
    <x v="104"/>
    <x v="3"/>
    <s v="Karnataka"/>
    <x v="3"/>
    <s v="Interest"/>
    <n v="0"/>
    <n v="0"/>
    <n v="0"/>
    <n v="0"/>
    <n v="8036.23"/>
    <x v="110"/>
    <n v="67"/>
    <s v="Male"/>
    <n v="2852846"/>
    <x v="1"/>
    <x v="0"/>
    <s v="S. Kumar"/>
  </r>
  <r>
    <s v="T100126"/>
    <x v="32"/>
    <x v="6"/>
    <x v="105"/>
    <x v="4"/>
    <s v="Tamil Nadu"/>
    <x v="1"/>
    <s v="EMI"/>
    <n v="0"/>
    <n v="0"/>
    <n v="0"/>
    <n v="41816"/>
    <n v="0"/>
    <x v="111"/>
    <n v="59"/>
    <s v="Male"/>
    <n v="718841"/>
    <x v="1"/>
    <x v="1"/>
    <s v="R. Patel"/>
  </r>
  <r>
    <s v="T100127"/>
    <x v="101"/>
    <x v="5"/>
    <x v="104"/>
    <x v="5"/>
    <s v="Delhi"/>
    <x v="1"/>
    <s v="EMI"/>
    <n v="0"/>
    <n v="0"/>
    <n v="0"/>
    <n v="4436"/>
    <n v="0"/>
    <x v="112"/>
    <n v="26"/>
    <s v="Female"/>
    <n v="1840063"/>
    <x v="1"/>
    <x v="3"/>
    <s v="A. Sharma"/>
  </r>
  <r>
    <s v="T100128"/>
    <x v="3"/>
    <x v="3"/>
    <x v="106"/>
    <x v="3"/>
    <s v="Karnataka"/>
    <x v="2"/>
    <s v="Interest"/>
    <n v="0"/>
    <n v="0"/>
    <n v="0"/>
    <n v="0"/>
    <n v="9954.41"/>
    <x v="113"/>
    <n v="50"/>
    <s v="Male"/>
    <n v="2766770"/>
    <x v="1"/>
    <x v="0"/>
    <s v="N. Rao"/>
  </r>
  <r>
    <s v="T100129"/>
    <x v="102"/>
    <x v="6"/>
    <x v="75"/>
    <x v="5"/>
    <s v="Telangana"/>
    <x v="3"/>
    <s v="Deposit"/>
    <n v="82861"/>
    <n v="0"/>
    <n v="0"/>
    <n v="0"/>
    <n v="0"/>
    <x v="114"/>
    <n v="40"/>
    <s v="Male"/>
    <n v="2890028"/>
    <x v="0"/>
    <x v="0"/>
    <s v="P. Singh"/>
  </r>
  <r>
    <s v="T100130"/>
    <x v="103"/>
    <x v="8"/>
    <x v="80"/>
    <x v="1"/>
    <s v="Maharashtra"/>
    <x v="0"/>
    <s v="Deposit"/>
    <n v="131118"/>
    <n v="0"/>
    <n v="0"/>
    <n v="0"/>
    <n v="0"/>
    <x v="42"/>
    <n v="52"/>
    <s v="Female"/>
    <n v="1310082"/>
    <x v="0"/>
    <x v="0"/>
    <s v="S. Kumar"/>
  </r>
  <r>
    <s v="T100131"/>
    <x v="104"/>
    <x v="10"/>
    <x v="26"/>
    <x v="4"/>
    <s v="Delhi"/>
    <x v="3"/>
    <s v="Deposit"/>
    <n v="186136"/>
    <n v="0"/>
    <n v="0"/>
    <n v="0"/>
    <n v="0"/>
    <x v="12"/>
    <n v="38"/>
    <s v="Male"/>
    <n v="1251547"/>
    <x v="0"/>
    <x v="0"/>
    <s v="R. Patel"/>
  </r>
  <r>
    <s v="T100132"/>
    <x v="89"/>
    <x v="10"/>
    <x v="107"/>
    <x v="2"/>
    <s v="Maharashtra"/>
    <x v="0"/>
    <s v="Withdrawal"/>
    <n v="0"/>
    <n v="78233"/>
    <n v="0"/>
    <n v="0"/>
    <n v="0"/>
    <x v="23"/>
    <n v="26"/>
    <s v="Female"/>
    <n v="291629"/>
    <x v="0"/>
    <x v="0"/>
    <s v="P. Singh"/>
  </r>
  <r>
    <s v="T100133"/>
    <x v="105"/>
    <x v="2"/>
    <x v="108"/>
    <x v="3"/>
    <s v="Delhi"/>
    <x v="1"/>
    <s v="Interest"/>
    <n v="0"/>
    <n v="0"/>
    <n v="0"/>
    <n v="0"/>
    <n v="7549.79"/>
    <x v="115"/>
    <n v="63"/>
    <s v="Female"/>
    <n v="1705956"/>
    <x v="0"/>
    <x v="0"/>
    <s v="P. Singh"/>
  </r>
  <r>
    <s v="T100134"/>
    <x v="106"/>
    <x v="6"/>
    <x v="108"/>
    <x v="4"/>
    <s v="Karnataka"/>
    <x v="2"/>
    <s v="Loan"/>
    <n v="0"/>
    <n v="0"/>
    <n v="1221868"/>
    <n v="0"/>
    <n v="0"/>
    <x v="116"/>
    <n v="28"/>
    <s v="Male"/>
    <n v="2426659"/>
    <x v="1"/>
    <x v="1"/>
    <s v="R. Patel"/>
  </r>
  <r>
    <s v="T100135"/>
    <x v="107"/>
    <x v="11"/>
    <x v="76"/>
    <x v="3"/>
    <s v="Delhi"/>
    <x v="3"/>
    <s v="Loan"/>
    <n v="0"/>
    <n v="0"/>
    <n v="1971506"/>
    <n v="0"/>
    <n v="0"/>
    <x v="117"/>
    <n v="59"/>
    <s v="Female"/>
    <n v="216365"/>
    <x v="0"/>
    <x v="2"/>
    <s v="S. Kumar"/>
  </r>
  <r>
    <s v="T100136"/>
    <x v="108"/>
    <x v="2"/>
    <x v="109"/>
    <x v="3"/>
    <s v="Delhi"/>
    <x v="3"/>
    <s v="Deposit"/>
    <n v="181332"/>
    <n v="0"/>
    <n v="0"/>
    <n v="0"/>
    <n v="0"/>
    <x v="118"/>
    <n v="21"/>
    <s v="Male"/>
    <n v="1100217"/>
    <x v="0"/>
    <x v="0"/>
    <s v="R. Patel"/>
  </r>
  <r>
    <s v="T100137"/>
    <x v="109"/>
    <x v="8"/>
    <x v="110"/>
    <x v="4"/>
    <s v="Karnataka"/>
    <x v="3"/>
    <s v="Deposit"/>
    <n v="62891"/>
    <n v="0"/>
    <n v="0"/>
    <n v="0"/>
    <n v="0"/>
    <x v="119"/>
    <n v="69"/>
    <s v="Female"/>
    <n v="2655171"/>
    <x v="0"/>
    <x v="0"/>
    <s v="A. Sharma"/>
  </r>
  <r>
    <s v="T100138"/>
    <x v="110"/>
    <x v="1"/>
    <x v="89"/>
    <x v="1"/>
    <s v="Tamil Nadu"/>
    <x v="2"/>
    <s v="Deposit"/>
    <n v="149161"/>
    <n v="0"/>
    <n v="0"/>
    <n v="0"/>
    <n v="0"/>
    <x v="120"/>
    <n v="59"/>
    <s v="Male"/>
    <n v="364880"/>
    <x v="1"/>
    <x v="0"/>
    <s v="N. Rao"/>
  </r>
  <r>
    <s v="T100139"/>
    <x v="111"/>
    <x v="0"/>
    <x v="86"/>
    <x v="5"/>
    <s v="Telangana"/>
    <x v="0"/>
    <s v="Deposit"/>
    <n v="149073"/>
    <n v="0"/>
    <n v="0"/>
    <n v="0"/>
    <n v="0"/>
    <x v="7"/>
    <n v="54"/>
    <s v="Male"/>
    <n v="1745319"/>
    <x v="0"/>
    <x v="0"/>
    <s v="R. Patel"/>
  </r>
  <r>
    <s v="T100140"/>
    <x v="42"/>
    <x v="11"/>
    <x v="111"/>
    <x v="1"/>
    <s v="Delhi"/>
    <x v="1"/>
    <s v="EMI"/>
    <n v="0"/>
    <n v="0"/>
    <n v="0"/>
    <n v="32293"/>
    <n v="0"/>
    <x v="121"/>
    <n v="64"/>
    <s v="Male"/>
    <n v="1732715"/>
    <x v="0"/>
    <x v="1"/>
    <s v="N. Rao"/>
  </r>
  <r>
    <s v="T100141"/>
    <x v="61"/>
    <x v="4"/>
    <x v="112"/>
    <x v="0"/>
    <s v="Karnataka"/>
    <x v="0"/>
    <s v="Loan"/>
    <n v="0"/>
    <n v="0"/>
    <n v="1887371"/>
    <n v="0"/>
    <n v="0"/>
    <x v="10"/>
    <n v="18"/>
    <s v="Female"/>
    <n v="1303023"/>
    <x v="1"/>
    <x v="1"/>
    <s v="P. Singh"/>
  </r>
  <r>
    <s v="T100142"/>
    <x v="112"/>
    <x v="10"/>
    <x v="108"/>
    <x v="3"/>
    <s v="Telangana"/>
    <x v="0"/>
    <s v="Interest"/>
    <n v="0"/>
    <n v="0"/>
    <n v="0"/>
    <n v="0"/>
    <n v="5328.9"/>
    <x v="122"/>
    <n v="31"/>
    <s v="Male"/>
    <n v="2742913"/>
    <x v="0"/>
    <x v="0"/>
    <s v="S. Kumar"/>
  </r>
  <r>
    <s v="T100143"/>
    <x v="69"/>
    <x v="4"/>
    <x v="113"/>
    <x v="5"/>
    <s v="Maharashtra"/>
    <x v="2"/>
    <s v="Withdrawal"/>
    <n v="0"/>
    <n v="55881"/>
    <n v="0"/>
    <n v="0"/>
    <n v="0"/>
    <x v="123"/>
    <n v="67"/>
    <s v="Male"/>
    <n v="1998168"/>
    <x v="1"/>
    <x v="0"/>
    <s v="A. Sharma"/>
  </r>
  <r>
    <s v="T100144"/>
    <x v="75"/>
    <x v="8"/>
    <x v="54"/>
    <x v="4"/>
    <s v="Delhi"/>
    <x v="3"/>
    <s v="EMI"/>
    <n v="0"/>
    <n v="0"/>
    <n v="0"/>
    <n v="42657"/>
    <n v="0"/>
    <x v="124"/>
    <n v="20"/>
    <s v="Male"/>
    <n v="2252839"/>
    <x v="1"/>
    <x v="1"/>
    <s v="P. Singh"/>
  </r>
  <r>
    <s v="T100145"/>
    <x v="113"/>
    <x v="1"/>
    <x v="60"/>
    <x v="2"/>
    <s v="Maharashtra"/>
    <x v="0"/>
    <s v="Deposit"/>
    <n v="30842"/>
    <n v="0"/>
    <n v="0"/>
    <n v="0"/>
    <n v="0"/>
    <x v="125"/>
    <n v="45"/>
    <s v="Male"/>
    <n v="879311"/>
    <x v="0"/>
    <x v="0"/>
    <s v="S. Kumar"/>
  </r>
  <r>
    <s v="T100146"/>
    <x v="114"/>
    <x v="1"/>
    <x v="114"/>
    <x v="1"/>
    <s v="Karnataka"/>
    <x v="0"/>
    <s v="Loan"/>
    <n v="0"/>
    <n v="0"/>
    <n v="1318512"/>
    <n v="0"/>
    <n v="0"/>
    <x v="126"/>
    <n v="55"/>
    <s v="Female"/>
    <n v="1341566"/>
    <x v="0"/>
    <x v="2"/>
    <s v="P. Singh"/>
  </r>
  <r>
    <s v="T100147"/>
    <x v="115"/>
    <x v="4"/>
    <x v="105"/>
    <x v="5"/>
    <s v="Karnataka"/>
    <x v="1"/>
    <s v="Loan"/>
    <n v="0"/>
    <n v="0"/>
    <n v="1846805"/>
    <n v="0"/>
    <n v="0"/>
    <x v="127"/>
    <n v="65"/>
    <s v="Female"/>
    <n v="1622889"/>
    <x v="1"/>
    <x v="1"/>
    <s v="P. Singh"/>
  </r>
  <r>
    <s v="T100148"/>
    <x v="116"/>
    <x v="1"/>
    <x v="115"/>
    <x v="5"/>
    <s v="Karnataka"/>
    <x v="0"/>
    <s v="EMI"/>
    <n v="0"/>
    <n v="0"/>
    <n v="0"/>
    <n v="49438"/>
    <n v="0"/>
    <x v="128"/>
    <n v="22"/>
    <s v="Female"/>
    <n v="2086063"/>
    <x v="0"/>
    <x v="1"/>
    <s v="A. Sharma"/>
  </r>
  <r>
    <s v="T100149"/>
    <x v="117"/>
    <x v="9"/>
    <x v="83"/>
    <x v="0"/>
    <s v="Tamil Nadu"/>
    <x v="1"/>
    <s v="Loan"/>
    <n v="0"/>
    <n v="0"/>
    <n v="422913"/>
    <n v="0"/>
    <n v="0"/>
    <x v="115"/>
    <n v="68"/>
    <s v="Female"/>
    <n v="1081033"/>
    <x v="0"/>
    <x v="2"/>
    <s v="N. Rao"/>
  </r>
  <r>
    <s v="T100150"/>
    <x v="118"/>
    <x v="8"/>
    <x v="29"/>
    <x v="5"/>
    <s v="Delhi"/>
    <x v="1"/>
    <s v="Withdrawal"/>
    <n v="0"/>
    <n v="53667"/>
    <n v="0"/>
    <n v="0"/>
    <n v="0"/>
    <x v="129"/>
    <n v="64"/>
    <s v="Female"/>
    <n v="2330307"/>
    <x v="1"/>
    <x v="0"/>
    <s v="A. Sharma"/>
  </r>
  <r>
    <s v="T100151"/>
    <x v="119"/>
    <x v="1"/>
    <x v="116"/>
    <x v="2"/>
    <s v="Telangana"/>
    <x v="3"/>
    <s v="EMI"/>
    <n v="0"/>
    <n v="0"/>
    <n v="0"/>
    <n v="39416"/>
    <n v="0"/>
    <x v="130"/>
    <n v="34"/>
    <s v="Female"/>
    <n v="1313299"/>
    <x v="0"/>
    <x v="3"/>
    <s v="N. Rao"/>
  </r>
  <r>
    <s v="T100152"/>
    <x v="120"/>
    <x v="6"/>
    <x v="15"/>
    <x v="0"/>
    <s v="Karnataka"/>
    <x v="2"/>
    <s v="Deposit"/>
    <n v="31274"/>
    <n v="0"/>
    <n v="0"/>
    <n v="0"/>
    <n v="0"/>
    <x v="131"/>
    <n v="20"/>
    <s v="Female"/>
    <n v="2521374"/>
    <x v="1"/>
    <x v="0"/>
    <s v="P. Singh"/>
  </r>
  <r>
    <s v="T100153"/>
    <x v="53"/>
    <x v="4"/>
    <x v="61"/>
    <x v="0"/>
    <s v="Tamil Nadu"/>
    <x v="0"/>
    <s v="Withdrawal"/>
    <n v="0"/>
    <n v="48620"/>
    <n v="0"/>
    <n v="0"/>
    <n v="0"/>
    <x v="132"/>
    <n v="51"/>
    <s v="Male"/>
    <n v="2732241"/>
    <x v="1"/>
    <x v="0"/>
    <s v="S. Kumar"/>
  </r>
  <r>
    <s v="T100154"/>
    <x v="121"/>
    <x v="10"/>
    <x v="19"/>
    <x v="5"/>
    <s v="Tamil Nadu"/>
    <x v="1"/>
    <s v="Loan"/>
    <n v="0"/>
    <n v="0"/>
    <n v="484197"/>
    <n v="0"/>
    <n v="0"/>
    <x v="133"/>
    <n v="43"/>
    <s v="Female"/>
    <n v="273026"/>
    <x v="1"/>
    <x v="1"/>
    <s v="R. Patel"/>
  </r>
  <r>
    <s v="T100155"/>
    <x v="122"/>
    <x v="10"/>
    <x v="117"/>
    <x v="2"/>
    <s v="Maharashtra"/>
    <x v="3"/>
    <s v="Interest"/>
    <n v="0"/>
    <n v="0"/>
    <n v="0"/>
    <n v="0"/>
    <n v="3515.93"/>
    <x v="134"/>
    <n v="66"/>
    <s v="Female"/>
    <n v="585314"/>
    <x v="0"/>
    <x v="0"/>
    <s v="S. Kumar"/>
  </r>
  <r>
    <s v="T100156"/>
    <x v="123"/>
    <x v="4"/>
    <x v="118"/>
    <x v="3"/>
    <s v="Karnataka"/>
    <x v="2"/>
    <s v="Withdrawal"/>
    <n v="0"/>
    <n v="96657"/>
    <n v="0"/>
    <n v="0"/>
    <n v="0"/>
    <x v="135"/>
    <n v="40"/>
    <s v="Female"/>
    <n v="1820862"/>
    <x v="1"/>
    <x v="0"/>
    <s v="S. Kumar"/>
  </r>
  <r>
    <s v="T100157"/>
    <x v="124"/>
    <x v="9"/>
    <x v="119"/>
    <x v="1"/>
    <s v="Telangana"/>
    <x v="3"/>
    <s v="Withdrawal"/>
    <n v="0"/>
    <n v="2481"/>
    <n v="0"/>
    <n v="0"/>
    <n v="0"/>
    <x v="136"/>
    <n v="19"/>
    <s v="Female"/>
    <n v="2052535"/>
    <x v="0"/>
    <x v="0"/>
    <s v="N. Rao"/>
  </r>
  <r>
    <s v="T100158"/>
    <x v="4"/>
    <x v="1"/>
    <x v="120"/>
    <x v="5"/>
    <s v="Karnataka"/>
    <x v="2"/>
    <s v="Withdrawal"/>
    <n v="0"/>
    <n v="19450"/>
    <n v="0"/>
    <n v="0"/>
    <n v="0"/>
    <x v="127"/>
    <n v="35"/>
    <s v="Male"/>
    <n v="746716"/>
    <x v="0"/>
    <x v="0"/>
    <s v="R. Patel"/>
  </r>
  <r>
    <s v="T100159"/>
    <x v="125"/>
    <x v="5"/>
    <x v="121"/>
    <x v="5"/>
    <s v="Tamil Nadu"/>
    <x v="2"/>
    <s v="Interest"/>
    <n v="0"/>
    <n v="0"/>
    <n v="0"/>
    <n v="0"/>
    <n v="6330.98"/>
    <x v="137"/>
    <n v="24"/>
    <s v="Male"/>
    <n v="1344658"/>
    <x v="0"/>
    <x v="0"/>
    <s v="A. Sharma"/>
  </r>
  <r>
    <s v="T100160"/>
    <x v="120"/>
    <x v="6"/>
    <x v="77"/>
    <x v="1"/>
    <s v="Delhi"/>
    <x v="3"/>
    <s v="Withdrawal"/>
    <n v="0"/>
    <n v="19318"/>
    <n v="0"/>
    <n v="0"/>
    <n v="0"/>
    <x v="138"/>
    <n v="52"/>
    <s v="Female"/>
    <n v="544318"/>
    <x v="1"/>
    <x v="0"/>
    <s v="S. Kumar"/>
  </r>
  <r>
    <s v="T100161"/>
    <x v="126"/>
    <x v="10"/>
    <x v="122"/>
    <x v="3"/>
    <s v="Delhi"/>
    <x v="2"/>
    <s v="Withdrawal"/>
    <n v="0"/>
    <n v="34267"/>
    <n v="0"/>
    <n v="0"/>
    <n v="0"/>
    <x v="139"/>
    <n v="63"/>
    <s v="Female"/>
    <n v="1372383"/>
    <x v="1"/>
    <x v="0"/>
    <s v="R. Patel"/>
  </r>
  <r>
    <s v="T100162"/>
    <x v="127"/>
    <x v="9"/>
    <x v="123"/>
    <x v="1"/>
    <s v="Tamil Nadu"/>
    <x v="3"/>
    <s v="Deposit"/>
    <n v="113228"/>
    <n v="0"/>
    <n v="0"/>
    <n v="0"/>
    <n v="0"/>
    <x v="140"/>
    <n v="70"/>
    <s v="Male"/>
    <n v="1496112"/>
    <x v="0"/>
    <x v="0"/>
    <s v="N. Rao"/>
  </r>
  <r>
    <s v="T100163"/>
    <x v="128"/>
    <x v="9"/>
    <x v="124"/>
    <x v="5"/>
    <s v="Maharashtra"/>
    <x v="2"/>
    <s v="Deposit"/>
    <n v="105472"/>
    <n v="0"/>
    <n v="0"/>
    <n v="0"/>
    <n v="0"/>
    <x v="141"/>
    <n v="48"/>
    <s v="Female"/>
    <n v="1453931"/>
    <x v="1"/>
    <x v="0"/>
    <s v="P. Singh"/>
  </r>
  <r>
    <s v="T100164"/>
    <x v="129"/>
    <x v="6"/>
    <x v="80"/>
    <x v="3"/>
    <s v="Telangana"/>
    <x v="0"/>
    <s v="EMI"/>
    <n v="0"/>
    <n v="0"/>
    <n v="0"/>
    <n v="47758"/>
    <n v="0"/>
    <x v="142"/>
    <n v="48"/>
    <s v="Female"/>
    <n v="1440745"/>
    <x v="0"/>
    <x v="1"/>
    <s v="P. Singh"/>
  </r>
  <r>
    <s v="T100165"/>
    <x v="130"/>
    <x v="7"/>
    <x v="125"/>
    <x v="3"/>
    <s v="Karnataka"/>
    <x v="1"/>
    <s v="Withdrawal"/>
    <n v="0"/>
    <n v="57699"/>
    <n v="0"/>
    <n v="0"/>
    <n v="0"/>
    <x v="143"/>
    <n v="35"/>
    <s v="Female"/>
    <n v="1234405"/>
    <x v="1"/>
    <x v="0"/>
    <s v="R. Patel"/>
  </r>
  <r>
    <s v="T100166"/>
    <x v="131"/>
    <x v="8"/>
    <x v="126"/>
    <x v="1"/>
    <s v="Delhi"/>
    <x v="2"/>
    <s v="Withdrawal"/>
    <n v="0"/>
    <n v="39496"/>
    <n v="0"/>
    <n v="0"/>
    <n v="0"/>
    <x v="45"/>
    <n v="44"/>
    <s v="Female"/>
    <n v="2649972"/>
    <x v="1"/>
    <x v="0"/>
    <s v="P. Singh"/>
  </r>
  <r>
    <s v="T100167"/>
    <x v="60"/>
    <x v="6"/>
    <x v="127"/>
    <x v="2"/>
    <s v="Maharashtra"/>
    <x v="3"/>
    <s v="EMI"/>
    <n v="0"/>
    <n v="0"/>
    <n v="0"/>
    <n v="33279"/>
    <n v="0"/>
    <x v="144"/>
    <n v="34"/>
    <s v="Male"/>
    <n v="2697153"/>
    <x v="0"/>
    <x v="1"/>
    <s v="A. Sharma"/>
  </r>
  <r>
    <s v="T100168"/>
    <x v="92"/>
    <x v="5"/>
    <x v="128"/>
    <x v="4"/>
    <s v="Karnataka"/>
    <x v="1"/>
    <s v="Loan"/>
    <n v="0"/>
    <n v="0"/>
    <n v="522208"/>
    <n v="0"/>
    <n v="0"/>
    <x v="145"/>
    <n v="51"/>
    <s v="Male"/>
    <n v="1369453"/>
    <x v="0"/>
    <x v="1"/>
    <s v="A. Sharma"/>
  </r>
  <r>
    <s v="T100169"/>
    <x v="94"/>
    <x v="7"/>
    <x v="129"/>
    <x v="3"/>
    <s v="Telangana"/>
    <x v="0"/>
    <s v="Interest"/>
    <n v="0"/>
    <n v="0"/>
    <n v="0"/>
    <n v="0"/>
    <n v="825.29"/>
    <x v="112"/>
    <n v="28"/>
    <s v="Male"/>
    <n v="2601811"/>
    <x v="0"/>
    <x v="0"/>
    <s v="N. Rao"/>
  </r>
  <r>
    <s v="T100170"/>
    <x v="132"/>
    <x v="5"/>
    <x v="26"/>
    <x v="0"/>
    <s v="Karnataka"/>
    <x v="1"/>
    <s v="EMI"/>
    <n v="0"/>
    <n v="0"/>
    <n v="0"/>
    <n v="12089"/>
    <n v="0"/>
    <x v="146"/>
    <n v="27"/>
    <s v="Male"/>
    <n v="577586"/>
    <x v="1"/>
    <x v="1"/>
    <s v="S. Kumar"/>
  </r>
  <r>
    <s v="T100171"/>
    <x v="65"/>
    <x v="2"/>
    <x v="67"/>
    <x v="5"/>
    <s v="Delhi"/>
    <x v="3"/>
    <s v="Deposit"/>
    <n v="94058"/>
    <n v="0"/>
    <n v="0"/>
    <n v="0"/>
    <n v="0"/>
    <x v="26"/>
    <n v="42"/>
    <s v="Male"/>
    <n v="2957559"/>
    <x v="1"/>
    <x v="0"/>
    <s v="P. Singh"/>
  </r>
  <r>
    <s v="T100172"/>
    <x v="35"/>
    <x v="6"/>
    <x v="130"/>
    <x v="1"/>
    <s v="Tamil Nadu"/>
    <x v="1"/>
    <s v="Deposit"/>
    <n v="58503"/>
    <n v="0"/>
    <n v="0"/>
    <n v="0"/>
    <n v="0"/>
    <x v="147"/>
    <n v="58"/>
    <s v="Female"/>
    <n v="1209860"/>
    <x v="0"/>
    <x v="0"/>
    <s v="R. Patel"/>
  </r>
  <r>
    <s v="T100173"/>
    <x v="133"/>
    <x v="8"/>
    <x v="130"/>
    <x v="0"/>
    <s v="Tamil Nadu"/>
    <x v="1"/>
    <s v="Loan"/>
    <n v="0"/>
    <n v="0"/>
    <n v="1660573"/>
    <n v="0"/>
    <n v="0"/>
    <x v="113"/>
    <n v="65"/>
    <s v="Male"/>
    <n v="1964836"/>
    <x v="0"/>
    <x v="2"/>
    <s v="P. Singh"/>
  </r>
  <r>
    <s v="T100174"/>
    <x v="134"/>
    <x v="4"/>
    <x v="131"/>
    <x v="2"/>
    <s v="Telangana"/>
    <x v="0"/>
    <s v="EMI"/>
    <n v="0"/>
    <n v="0"/>
    <n v="0"/>
    <n v="18141"/>
    <n v="0"/>
    <x v="148"/>
    <n v="21"/>
    <s v="Male"/>
    <n v="375848"/>
    <x v="0"/>
    <x v="1"/>
    <s v="R. Patel"/>
  </r>
  <r>
    <s v="T100175"/>
    <x v="135"/>
    <x v="0"/>
    <x v="33"/>
    <x v="0"/>
    <s v="Maharashtra"/>
    <x v="0"/>
    <s v="Interest"/>
    <n v="0"/>
    <n v="0"/>
    <n v="0"/>
    <n v="0"/>
    <n v="5365.69"/>
    <x v="122"/>
    <n v="56"/>
    <s v="Male"/>
    <n v="1041328"/>
    <x v="1"/>
    <x v="0"/>
    <s v="A. Sharma"/>
  </r>
  <r>
    <s v="T100176"/>
    <x v="136"/>
    <x v="11"/>
    <x v="132"/>
    <x v="1"/>
    <s v="Tamil Nadu"/>
    <x v="1"/>
    <s v="EMI"/>
    <n v="0"/>
    <n v="0"/>
    <n v="0"/>
    <n v="28262"/>
    <n v="0"/>
    <x v="149"/>
    <n v="28"/>
    <s v="Female"/>
    <n v="1384954"/>
    <x v="0"/>
    <x v="3"/>
    <s v="S. Kumar"/>
  </r>
  <r>
    <s v="T100177"/>
    <x v="137"/>
    <x v="5"/>
    <x v="133"/>
    <x v="1"/>
    <s v="Delhi"/>
    <x v="3"/>
    <s v="EMI"/>
    <n v="0"/>
    <n v="0"/>
    <n v="0"/>
    <n v="32959"/>
    <n v="0"/>
    <x v="150"/>
    <n v="43"/>
    <s v="Female"/>
    <n v="2862240"/>
    <x v="1"/>
    <x v="3"/>
    <s v="A. Sharma"/>
  </r>
  <r>
    <s v="T100178"/>
    <x v="41"/>
    <x v="1"/>
    <x v="134"/>
    <x v="1"/>
    <s v="Telangana"/>
    <x v="0"/>
    <s v="Deposit"/>
    <n v="114110"/>
    <n v="0"/>
    <n v="0"/>
    <n v="0"/>
    <n v="0"/>
    <x v="151"/>
    <n v="58"/>
    <s v="Female"/>
    <n v="2256617"/>
    <x v="1"/>
    <x v="0"/>
    <s v="A. Sharma"/>
  </r>
  <r>
    <s v="T100179"/>
    <x v="100"/>
    <x v="8"/>
    <x v="12"/>
    <x v="3"/>
    <s v="Karnataka"/>
    <x v="0"/>
    <s v="Withdrawal"/>
    <n v="0"/>
    <n v="62269"/>
    <n v="0"/>
    <n v="0"/>
    <n v="0"/>
    <x v="42"/>
    <n v="43"/>
    <s v="Female"/>
    <n v="981138"/>
    <x v="0"/>
    <x v="0"/>
    <s v="N. Rao"/>
  </r>
  <r>
    <s v="T100180"/>
    <x v="138"/>
    <x v="1"/>
    <x v="43"/>
    <x v="4"/>
    <s v="Maharashtra"/>
    <x v="2"/>
    <s v="Loan"/>
    <n v="0"/>
    <n v="0"/>
    <n v="1855509"/>
    <n v="0"/>
    <n v="0"/>
    <x v="152"/>
    <n v="26"/>
    <s v="Male"/>
    <n v="2350352"/>
    <x v="1"/>
    <x v="1"/>
    <s v="A. Sharma"/>
  </r>
  <r>
    <s v="T100181"/>
    <x v="139"/>
    <x v="3"/>
    <x v="123"/>
    <x v="4"/>
    <s v="Maharashtra"/>
    <x v="3"/>
    <s v="Deposit"/>
    <n v="16181"/>
    <n v="0"/>
    <n v="0"/>
    <n v="0"/>
    <n v="0"/>
    <x v="151"/>
    <n v="56"/>
    <s v="Female"/>
    <n v="1754173"/>
    <x v="1"/>
    <x v="0"/>
    <s v="R. Patel"/>
  </r>
  <r>
    <s v="T100182"/>
    <x v="31"/>
    <x v="4"/>
    <x v="8"/>
    <x v="0"/>
    <s v="Telangana"/>
    <x v="1"/>
    <s v="Interest"/>
    <n v="0"/>
    <n v="0"/>
    <n v="0"/>
    <n v="0"/>
    <n v="8615.27"/>
    <x v="142"/>
    <n v="36"/>
    <s v="Male"/>
    <n v="2814733"/>
    <x v="0"/>
    <x v="0"/>
    <s v="R. Patel"/>
  </r>
  <r>
    <s v="T100183"/>
    <x v="140"/>
    <x v="1"/>
    <x v="135"/>
    <x v="3"/>
    <s v="Delhi"/>
    <x v="0"/>
    <s v="Deposit"/>
    <n v="113684"/>
    <n v="0"/>
    <n v="0"/>
    <n v="0"/>
    <n v="0"/>
    <x v="153"/>
    <n v="65"/>
    <s v="Male"/>
    <n v="1238399"/>
    <x v="0"/>
    <x v="0"/>
    <s v="P. Singh"/>
  </r>
  <r>
    <s v="T100184"/>
    <x v="141"/>
    <x v="0"/>
    <x v="14"/>
    <x v="4"/>
    <s v="Karnataka"/>
    <x v="3"/>
    <s v="Interest"/>
    <n v="0"/>
    <n v="0"/>
    <n v="0"/>
    <n v="0"/>
    <n v="7095.05"/>
    <x v="134"/>
    <n v="19"/>
    <s v="Female"/>
    <n v="791222"/>
    <x v="1"/>
    <x v="0"/>
    <s v="S. Kumar"/>
  </r>
  <r>
    <s v="T100185"/>
    <x v="142"/>
    <x v="9"/>
    <x v="19"/>
    <x v="1"/>
    <s v="Tamil Nadu"/>
    <x v="0"/>
    <s v="Deposit"/>
    <n v="27121"/>
    <n v="0"/>
    <n v="0"/>
    <n v="0"/>
    <n v="0"/>
    <x v="9"/>
    <n v="34"/>
    <s v="Female"/>
    <n v="666249"/>
    <x v="1"/>
    <x v="0"/>
    <s v="P. Singh"/>
  </r>
  <r>
    <s v="T100186"/>
    <x v="64"/>
    <x v="3"/>
    <x v="136"/>
    <x v="4"/>
    <s v="Tamil Nadu"/>
    <x v="0"/>
    <s v="EMI"/>
    <n v="0"/>
    <n v="0"/>
    <n v="0"/>
    <n v="43779"/>
    <n v="0"/>
    <x v="111"/>
    <n v="67"/>
    <s v="Female"/>
    <n v="1592346"/>
    <x v="0"/>
    <x v="4"/>
    <s v="A. Sharma"/>
  </r>
  <r>
    <s v="T100187"/>
    <x v="46"/>
    <x v="8"/>
    <x v="137"/>
    <x v="1"/>
    <s v="Telangana"/>
    <x v="1"/>
    <s v="Withdrawal"/>
    <n v="0"/>
    <n v="14048"/>
    <n v="0"/>
    <n v="0"/>
    <n v="0"/>
    <x v="154"/>
    <n v="54"/>
    <s v="Male"/>
    <n v="1481594"/>
    <x v="0"/>
    <x v="0"/>
    <s v="P. Singh"/>
  </r>
  <r>
    <s v="T100188"/>
    <x v="143"/>
    <x v="5"/>
    <x v="138"/>
    <x v="1"/>
    <s v="Telangana"/>
    <x v="1"/>
    <s v="Loan"/>
    <n v="0"/>
    <n v="0"/>
    <n v="1106017"/>
    <n v="0"/>
    <n v="0"/>
    <x v="155"/>
    <n v="29"/>
    <s v="Male"/>
    <n v="1500801"/>
    <x v="1"/>
    <x v="2"/>
    <s v="N. Rao"/>
  </r>
  <r>
    <s v="T100189"/>
    <x v="117"/>
    <x v="9"/>
    <x v="139"/>
    <x v="1"/>
    <s v="Karnataka"/>
    <x v="0"/>
    <s v="Deposit"/>
    <n v="79886"/>
    <n v="0"/>
    <n v="0"/>
    <n v="0"/>
    <n v="0"/>
    <x v="156"/>
    <n v="24"/>
    <s v="Female"/>
    <n v="1323647"/>
    <x v="0"/>
    <x v="0"/>
    <s v="N. Rao"/>
  </r>
  <r>
    <s v="T100190"/>
    <x v="144"/>
    <x v="0"/>
    <x v="140"/>
    <x v="4"/>
    <s v="Tamil Nadu"/>
    <x v="2"/>
    <s v="Loan"/>
    <n v="0"/>
    <n v="0"/>
    <n v="74718"/>
    <n v="0"/>
    <n v="0"/>
    <x v="157"/>
    <n v="45"/>
    <s v="Male"/>
    <n v="547846"/>
    <x v="1"/>
    <x v="1"/>
    <s v="R. Patel"/>
  </r>
  <r>
    <s v="T100191"/>
    <x v="15"/>
    <x v="5"/>
    <x v="100"/>
    <x v="1"/>
    <s v="Karnataka"/>
    <x v="1"/>
    <s v="EMI"/>
    <n v="0"/>
    <n v="0"/>
    <n v="0"/>
    <n v="16451"/>
    <n v="0"/>
    <x v="158"/>
    <n v="31"/>
    <s v="Female"/>
    <n v="746760"/>
    <x v="1"/>
    <x v="4"/>
    <s v="P. Singh"/>
  </r>
  <r>
    <s v="T100193"/>
    <x v="145"/>
    <x v="2"/>
    <x v="141"/>
    <x v="4"/>
    <s v="Karnataka"/>
    <x v="3"/>
    <s v="Deposit"/>
    <n v="1985"/>
    <n v="0"/>
    <n v="0"/>
    <n v="0"/>
    <n v="0"/>
    <x v="159"/>
    <n v="55"/>
    <s v="Male"/>
    <n v="239867"/>
    <x v="0"/>
    <x v="0"/>
    <s v="R. Patel"/>
  </r>
  <r>
    <s v="T100194"/>
    <x v="69"/>
    <x v="4"/>
    <x v="46"/>
    <x v="3"/>
    <s v="Delhi"/>
    <x v="1"/>
    <s v="Interest"/>
    <n v="0"/>
    <n v="0"/>
    <n v="0"/>
    <n v="0"/>
    <n v="7526.49"/>
    <x v="160"/>
    <n v="47"/>
    <s v="Female"/>
    <n v="1268550"/>
    <x v="1"/>
    <x v="0"/>
    <s v="N. Rao"/>
  </r>
  <r>
    <s v="T100195"/>
    <x v="83"/>
    <x v="11"/>
    <x v="142"/>
    <x v="1"/>
    <s v="Maharashtra"/>
    <x v="2"/>
    <s v="EMI"/>
    <n v="0"/>
    <n v="0"/>
    <n v="0"/>
    <n v="19844"/>
    <n v="0"/>
    <x v="161"/>
    <n v="28"/>
    <s v="Male"/>
    <n v="442953"/>
    <x v="0"/>
    <x v="1"/>
    <s v="N. Rao"/>
  </r>
  <r>
    <s v="T100196"/>
    <x v="121"/>
    <x v="10"/>
    <x v="136"/>
    <x v="2"/>
    <s v="Delhi"/>
    <x v="0"/>
    <s v="Withdrawal"/>
    <n v="0"/>
    <n v="54693"/>
    <n v="0"/>
    <n v="0"/>
    <n v="0"/>
    <x v="162"/>
    <n v="40"/>
    <s v="Male"/>
    <n v="765868"/>
    <x v="0"/>
    <x v="0"/>
    <s v="S. Kumar"/>
  </r>
  <r>
    <s v="T100197"/>
    <x v="35"/>
    <x v="6"/>
    <x v="40"/>
    <x v="3"/>
    <s v="Karnataka"/>
    <x v="0"/>
    <s v="Interest"/>
    <n v="0"/>
    <n v="0"/>
    <n v="0"/>
    <n v="0"/>
    <n v="1343.54"/>
    <x v="152"/>
    <n v="20"/>
    <s v="Female"/>
    <n v="524630"/>
    <x v="0"/>
    <x v="0"/>
    <s v="N. Rao"/>
  </r>
  <r>
    <s v="T100198"/>
    <x v="146"/>
    <x v="7"/>
    <x v="143"/>
    <x v="5"/>
    <s v="Karnataka"/>
    <x v="3"/>
    <s v="EMI"/>
    <n v="0"/>
    <n v="0"/>
    <n v="0"/>
    <n v="2371"/>
    <n v="0"/>
    <x v="163"/>
    <n v="65"/>
    <s v="Female"/>
    <n v="2303381"/>
    <x v="1"/>
    <x v="1"/>
    <s v="R. Patel"/>
  </r>
  <r>
    <s v="T100199"/>
    <x v="97"/>
    <x v="5"/>
    <x v="127"/>
    <x v="1"/>
    <s v="Karnataka"/>
    <x v="1"/>
    <s v="Withdrawal"/>
    <n v="0"/>
    <n v="9468"/>
    <n v="0"/>
    <n v="0"/>
    <n v="0"/>
    <x v="164"/>
    <n v="46"/>
    <s v="Male"/>
    <n v="691453"/>
    <x v="1"/>
    <x v="0"/>
    <s v="N. Rao"/>
  </r>
  <r>
    <s v="T100200"/>
    <x v="144"/>
    <x v="0"/>
    <x v="144"/>
    <x v="1"/>
    <s v="Delhi"/>
    <x v="1"/>
    <s v="Withdrawal"/>
    <n v="0"/>
    <n v="44490"/>
    <n v="0"/>
    <n v="0"/>
    <n v="0"/>
    <x v="165"/>
    <n v="26"/>
    <s v="Female"/>
    <n v="2762821"/>
    <x v="0"/>
    <x v="0"/>
    <s v="P. Singh"/>
  </r>
  <r>
    <s v="T100201"/>
    <x v="51"/>
    <x v="11"/>
    <x v="53"/>
    <x v="0"/>
    <s v="Tamil Nadu"/>
    <x v="1"/>
    <s v="Interest"/>
    <n v="0"/>
    <n v="0"/>
    <n v="0"/>
    <n v="0"/>
    <n v="2040.24"/>
    <x v="166"/>
    <n v="18"/>
    <s v="Male"/>
    <n v="909782"/>
    <x v="1"/>
    <x v="0"/>
    <s v="A. Sharma"/>
  </r>
  <r>
    <s v="T100202"/>
    <x v="147"/>
    <x v="1"/>
    <x v="6"/>
    <x v="3"/>
    <s v="Telangana"/>
    <x v="1"/>
    <s v="Loan"/>
    <n v="0"/>
    <n v="0"/>
    <n v="661694"/>
    <n v="0"/>
    <n v="0"/>
    <x v="56"/>
    <n v="53"/>
    <s v="Male"/>
    <n v="788169"/>
    <x v="1"/>
    <x v="2"/>
    <s v="P. Singh"/>
  </r>
  <r>
    <s v="T100203"/>
    <x v="148"/>
    <x v="7"/>
    <x v="108"/>
    <x v="5"/>
    <s v="Tamil Nadu"/>
    <x v="0"/>
    <s v="Loan"/>
    <n v="0"/>
    <n v="0"/>
    <n v="76879"/>
    <n v="0"/>
    <n v="0"/>
    <x v="136"/>
    <n v="27"/>
    <s v="Male"/>
    <n v="1863323"/>
    <x v="1"/>
    <x v="1"/>
    <s v="N. Rao"/>
  </r>
  <r>
    <s v="T100204"/>
    <x v="149"/>
    <x v="4"/>
    <x v="18"/>
    <x v="3"/>
    <s v="Maharashtra"/>
    <x v="3"/>
    <s v="EMI"/>
    <n v="0"/>
    <n v="0"/>
    <n v="0"/>
    <n v="29924"/>
    <n v="0"/>
    <x v="167"/>
    <n v="68"/>
    <s v="Female"/>
    <n v="2702999"/>
    <x v="0"/>
    <x v="4"/>
    <s v="A. Sharma"/>
  </r>
  <r>
    <s v="T100205"/>
    <x v="64"/>
    <x v="3"/>
    <x v="73"/>
    <x v="2"/>
    <s v="Delhi"/>
    <x v="1"/>
    <s v="Interest"/>
    <n v="0"/>
    <n v="0"/>
    <n v="0"/>
    <n v="0"/>
    <n v="6658.09"/>
    <x v="168"/>
    <n v="32"/>
    <s v="Female"/>
    <n v="1516187"/>
    <x v="1"/>
    <x v="0"/>
    <s v="P. Singh"/>
  </r>
  <r>
    <s v="T100206"/>
    <x v="106"/>
    <x v="6"/>
    <x v="58"/>
    <x v="1"/>
    <s v="Delhi"/>
    <x v="2"/>
    <s v="Interest"/>
    <n v="0"/>
    <n v="0"/>
    <n v="0"/>
    <n v="0"/>
    <n v="5705.3"/>
    <x v="169"/>
    <n v="22"/>
    <s v="Male"/>
    <n v="2062942"/>
    <x v="1"/>
    <x v="0"/>
    <s v="A. Sharma"/>
  </r>
  <r>
    <s v="T100207"/>
    <x v="150"/>
    <x v="2"/>
    <x v="145"/>
    <x v="3"/>
    <s v="Maharashtra"/>
    <x v="0"/>
    <s v="Withdrawal"/>
    <n v="0"/>
    <n v="46723"/>
    <n v="0"/>
    <n v="0"/>
    <n v="0"/>
    <x v="58"/>
    <n v="52"/>
    <s v="Female"/>
    <n v="868089"/>
    <x v="0"/>
    <x v="0"/>
    <s v="R. Patel"/>
  </r>
  <r>
    <s v="T100208"/>
    <x v="98"/>
    <x v="1"/>
    <x v="89"/>
    <x v="4"/>
    <s v="Karnataka"/>
    <x v="2"/>
    <s v="Loan"/>
    <n v="0"/>
    <n v="0"/>
    <n v="1661684"/>
    <n v="0"/>
    <n v="0"/>
    <x v="170"/>
    <n v="60"/>
    <s v="Male"/>
    <n v="1370593"/>
    <x v="1"/>
    <x v="2"/>
    <s v="R. Patel"/>
  </r>
  <r>
    <s v="T100209"/>
    <x v="37"/>
    <x v="3"/>
    <x v="146"/>
    <x v="1"/>
    <s v="Telangana"/>
    <x v="3"/>
    <s v="EMI"/>
    <n v="0"/>
    <n v="0"/>
    <n v="0"/>
    <n v="49715"/>
    <n v="0"/>
    <x v="171"/>
    <n v="36"/>
    <s v="Male"/>
    <n v="2666218"/>
    <x v="1"/>
    <x v="3"/>
    <s v="R. Patel"/>
  </r>
  <r>
    <s v="T100210"/>
    <x v="151"/>
    <x v="5"/>
    <x v="112"/>
    <x v="2"/>
    <s v="Telangana"/>
    <x v="3"/>
    <s v="Loan"/>
    <n v="0"/>
    <n v="0"/>
    <n v="423843"/>
    <n v="0"/>
    <n v="0"/>
    <x v="172"/>
    <n v="36"/>
    <s v="Male"/>
    <n v="1762061"/>
    <x v="0"/>
    <x v="1"/>
    <s v="N. Rao"/>
  </r>
  <r>
    <s v="T100211"/>
    <x v="13"/>
    <x v="7"/>
    <x v="147"/>
    <x v="4"/>
    <s v="Tamil Nadu"/>
    <x v="2"/>
    <s v="Deposit"/>
    <n v="141217"/>
    <n v="0"/>
    <n v="0"/>
    <n v="0"/>
    <n v="0"/>
    <x v="173"/>
    <n v="63"/>
    <s v="Female"/>
    <n v="951249"/>
    <x v="1"/>
    <x v="0"/>
    <s v="S. Kumar"/>
  </r>
  <r>
    <s v="T100212"/>
    <x v="152"/>
    <x v="3"/>
    <x v="39"/>
    <x v="2"/>
    <s v="Karnataka"/>
    <x v="0"/>
    <s v="Deposit"/>
    <n v="103894"/>
    <n v="0"/>
    <n v="0"/>
    <n v="0"/>
    <n v="0"/>
    <x v="174"/>
    <n v="36"/>
    <s v="Female"/>
    <n v="2520156"/>
    <x v="1"/>
    <x v="0"/>
    <s v="S. Kumar"/>
  </r>
  <r>
    <s v="T100213"/>
    <x v="79"/>
    <x v="0"/>
    <x v="51"/>
    <x v="0"/>
    <s v="Telangana"/>
    <x v="1"/>
    <s v="Withdrawal"/>
    <n v="0"/>
    <n v="70213"/>
    <n v="0"/>
    <n v="0"/>
    <n v="0"/>
    <x v="175"/>
    <n v="32"/>
    <s v="Male"/>
    <n v="569224"/>
    <x v="1"/>
    <x v="0"/>
    <s v="R. Patel"/>
  </r>
  <r>
    <s v="T100214"/>
    <x v="69"/>
    <x v="4"/>
    <x v="9"/>
    <x v="3"/>
    <s v="Maharashtra"/>
    <x v="1"/>
    <s v="Withdrawal"/>
    <n v="0"/>
    <n v="44068"/>
    <n v="0"/>
    <n v="0"/>
    <n v="0"/>
    <x v="176"/>
    <n v="53"/>
    <s v="Male"/>
    <n v="2895178"/>
    <x v="0"/>
    <x v="0"/>
    <s v="P. Singh"/>
  </r>
  <r>
    <s v="T100215"/>
    <x v="153"/>
    <x v="5"/>
    <x v="148"/>
    <x v="1"/>
    <s v="Karnataka"/>
    <x v="3"/>
    <s v="Deposit"/>
    <n v="10793"/>
    <n v="0"/>
    <n v="0"/>
    <n v="0"/>
    <n v="0"/>
    <x v="177"/>
    <n v="60"/>
    <s v="Female"/>
    <n v="2689184"/>
    <x v="1"/>
    <x v="0"/>
    <s v="S. Kumar"/>
  </r>
  <r>
    <s v="T100216"/>
    <x v="98"/>
    <x v="1"/>
    <x v="149"/>
    <x v="4"/>
    <s v="Delhi"/>
    <x v="2"/>
    <s v="EMI"/>
    <n v="0"/>
    <n v="0"/>
    <n v="0"/>
    <n v="41743"/>
    <n v="0"/>
    <x v="0"/>
    <n v="18"/>
    <s v="Female"/>
    <n v="1922730"/>
    <x v="0"/>
    <x v="4"/>
    <s v="P. Singh"/>
  </r>
  <r>
    <s v="T100217"/>
    <x v="154"/>
    <x v="3"/>
    <x v="115"/>
    <x v="1"/>
    <s v="Karnataka"/>
    <x v="3"/>
    <s v="EMI"/>
    <n v="0"/>
    <n v="0"/>
    <n v="0"/>
    <n v="34404"/>
    <n v="0"/>
    <x v="178"/>
    <n v="43"/>
    <s v="Male"/>
    <n v="1124224"/>
    <x v="1"/>
    <x v="3"/>
    <s v="P. Singh"/>
  </r>
  <r>
    <s v="T100218"/>
    <x v="155"/>
    <x v="0"/>
    <x v="62"/>
    <x v="4"/>
    <s v="Telangana"/>
    <x v="1"/>
    <s v="Withdrawal"/>
    <n v="0"/>
    <n v="14364"/>
    <n v="0"/>
    <n v="0"/>
    <n v="0"/>
    <x v="79"/>
    <n v="44"/>
    <s v="Female"/>
    <n v="2158444"/>
    <x v="1"/>
    <x v="0"/>
    <s v="S. Kumar"/>
  </r>
  <r>
    <s v="T100219"/>
    <x v="156"/>
    <x v="6"/>
    <x v="150"/>
    <x v="3"/>
    <s v="Tamil Nadu"/>
    <x v="2"/>
    <s v="EMI"/>
    <n v="0"/>
    <n v="0"/>
    <n v="0"/>
    <n v="38464"/>
    <n v="0"/>
    <x v="10"/>
    <n v="36"/>
    <s v="Male"/>
    <n v="1329412"/>
    <x v="0"/>
    <x v="4"/>
    <s v="S. Kumar"/>
  </r>
  <r>
    <s v="T100220"/>
    <x v="157"/>
    <x v="7"/>
    <x v="151"/>
    <x v="2"/>
    <s v="Karnataka"/>
    <x v="1"/>
    <s v="Deposit"/>
    <n v="154715"/>
    <n v="0"/>
    <n v="0"/>
    <n v="0"/>
    <n v="0"/>
    <x v="179"/>
    <n v="23"/>
    <s v="Male"/>
    <n v="1600600"/>
    <x v="1"/>
    <x v="0"/>
    <s v="N. Rao"/>
  </r>
  <r>
    <s v="T100221"/>
    <x v="158"/>
    <x v="2"/>
    <x v="12"/>
    <x v="2"/>
    <s v="Karnataka"/>
    <x v="1"/>
    <s v="Withdrawal"/>
    <n v="0"/>
    <n v="94682"/>
    <n v="0"/>
    <n v="0"/>
    <n v="0"/>
    <x v="180"/>
    <n v="51"/>
    <s v="Male"/>
    <n v="2685514"/>
    <x v="0"/>
    <x v="0"/>
    <s v="R. Patel"/>
  </r>
  <r>
    <s v="T100222"/>
    <x v="159"/>
    <x v="5"/>
    <x v="124"/>
    <x v="3"/>
    <s v="Maharashtra"/>
    <x v="1"/>
    <s v="Withdrawal"/>
    <n v="0"/>
    <n v="41844"/>
    <n v="0"/>
    <n v="0"/>
    <n v="0"/>
    <x v="181"/>
    <n v="19"/>
    <s v="Female"/>
    <n v="2981684"/>
    <x v="0"/>
    <x v="0"/>
    <s v="S. Kumar"/>
  </r>
  <r>
    <s v="T100223"/>
    <x v="160"/>
    <x v="2"/>
    <x v="152"/>
    <x v="4"/>
    <s v="Karnataka"/>
    <x v="3"/>
    <s v="Loan"/>
    <n v="0"/>
    <n v="0"/>
    <n v="1733925"/>
    <n v="0"/>
    <n v="0"/>
    <x v="182"/>
    <n v="21"/>
    <s v="Female"/>
    <n v="971224"/>
    <x v="0"/>
    <x v="2"/>
    <s v="N. Rao"/>
  </r>
  <r>
    <s v="T100224"/>
    <x v="141"/>
    <x v="0"/>
    <x v="147"/>
    <x v="3"/>
    <s v="Tamil Nadu"/>
    <x v="3"/>
    <s v="Interest"/>
    <n v="0"/>
    <n v="0"/>
    <n v="0"/>
    <n v="0"/>
    <n v="8380.2900000000009"/>
    <x v="183"/>
    <n v="38"/>
    <s v="Male"/>
    <n v="520024"/>
    <x v="1"/>
    <x v="0"/>
    <s v="P. Singh"/>
  </r>
  <r>
    <s v="T100225"/>
    <x v="161"/>
    <x v="9"/>
    <x v="21"/>
    <x v="5"/>
    <s v="Telangana"/>
    <x v="2"/>
    <s v="Loan"/>
    <n v="0"/>
    <n v="0"/>
    <n v="1016202"/>
    <n v="0"/>
    <n v="0"/>
    <x v="184"/>
    <n v="53"/>
    <s v="Male"/>
    <n v="1128836"/>
    <x v="1"/>
    <x v="2"/>
    <s v="S. Kumar"/>
  </r>
  <r>
    <s v="T100226"/>
    <x v="8"/>
    <x v="3"/>
    <x v="153"/>
    <x v="4"/>
    <s v="Karnataka"/>
    <x v="1"/>
    <s v="Withdrawal"/>
    <n v="0"/>
    <n v="66321"/>
    <n v="0"/>
    <n v="0"/>
    <n v="0"/>
    <x v="185"/>
    <n v="23"/>
    <s v="Female"/>
    <n v="756821"/>
    <x v="1"/>
    <x v="0"/>
    <s v="A. Sharma"/>
  </r>
  <r>
    <s v="T100227"/>
    <x v="7"/>
    <x v="6"/>
    <x v="77"/>
    <x v="0"/>
    <s v="Telangana"/>
    <x v="2"/>
    <s v="Interest"/>
    <n v="0"/>
    <n v="0"/>
    <n v="0"/>
    <n v="0"/>
    <n v="6362.33"/>
    <x v="186"/>
    <n v="64"/>
    <s v="Female"/>
    <n v="302580"/>
    <x v="0"/>
    <x v="0"/>
    <s v="P. Singh"/>
  </r>
  <r>
    <s v="T100228"/>
    <x v="162"/>
    <x v="2"/>
    <x v="33"/>
    <x v="4"/>
    <s v="Karnataka"/>
    <x v="3"/>
    <s v="Loan"/>
    <n v="0"/>
    <n v="0"/>
    <n v="656967"/>
    <n v="0"/>
    <n v="0"/>
    <x v="187"/>
    <n v="65"/>
    <s v="Male"/>
    <n v="2605336"/>
    <x v="1"/>
    <x v="1"/>
    <s v="S. Kumar"/>
  </r>
  <r>
    <s v="T100229"/>
    <x v="163"/>
    <x v="3"/>
    <x v="154"/>
    <x v="1"/>
    <s v="Telangana"/>
    <x v="2"/>
    <s v="Loan"/>
    <n v="0"/>
    <n v="0"/>
    <n v="868789"/>
    <n v="0"/>
    <n v="0"/>
    <x v="149"/>
    <n v="23"/>
    <s v="Female"/>
    <n v="1415393"/>
    <x v="0"/>
    <x v="1"/>
    <s v="S. Kumar"/>
  </r>
  <r>
    <s v="T100230"/>
    <x v="163"/>
    <x v="3"/>
    <x v="148"/>
    <x v="3"/>
    <s v="Telangana"/>
    <x v="1"/>
    <s v="Loan"/>
    <n v="0"/>
    <n v="0"/>
    <n v="467338"/>
    <n v="0"/>
    <n v="0"/>
    <x v="38"/>
    <n v="66"/>
    <s v="Female"/>
    <n v="656502"/>
    <x v="0"/>
    <x v="1"/>
    <s v="P. Singh"/>
  </r>
  <r>
    <s v="T100232"/>
    <x v="90"/>
    <x v="0"/>
    <x v="155"/>
    <x v="1"/>
    <s v="Karnataka"/>
    <x v="2"/>
    <s v="Loan"/>
    <n v="0"/>
    <n v="0"/>
    <n v="402008"/>
    <n v="0"/>
    <n v="0"/>
    <x v="65"/>
    <n v="40"/>
    <s v="Female"/>
    <n v="1604507"/>
    <x v="1"/>
    <x v="1"/>
    <s v="R. Patel"/>
  </r>
  <r>
    <s v="T100233"/>
    <x v="19"/>
    <x v="0"/>
    <x v="153"/>
    <x v="2"/>
    <s v="Delhi"/>
    <x v="1"/>
    <s v="Loan"/>
    <n v="0"/>
    <n v="0"/>
    <n v="127031"/>
    <n v="0"/>
    <n v="0"/>
    <x v="188"/>
    <n v="26"/>
    <s v="Male"/>
    <n v="2350236"/>
    <x v="1"/>
    <x v="2"/>
    <s v="N. Rao"/>
  </r>
  <r>
    <s v="T100234"/>
    <x v="148"/>
    <x v="7"/>
    <x v="54"/>
    <x v="0"/>
    <s v="Delhi"/>
    <x v="0"/>
    <s v="Interest"/>
    <n v="0"/>
    <n v="0"/>
    <n v="0"/>
    <n v="0"/>
    <n v="8499.77"/>
    <x v="57"/>
    <n v="62"/>
    <s v="Male"/>
    <n v="354186"/>
    <x v="1"/>
    <x v="0"/>
    <s v="S. Kumar"/>
  </r>
  <r>
    <s v="T100235"/>
    <x v="35"/>
    <x v="6"/>
    <x v="139"/>
    <x v="3"/>
    <s v="Maharashtra"/>
    <x v="0"/>
    <s v="Interest"/>
    <n v="0"/>
    <n v="0"/>
    <n v="0"/>
    <n v="0"/>
    <n v="1740.85"/>
    <x v="189"/>
    <n v="69"/>
    <s v="Female"/>
    <n v="1282395"/>
    <x v="0"/>
    <x v="0"/>
    <s v="N. Rao"/>
  </r>
  <r>
    <s v="T100236"/>
    <x v="61"/>
    <x v="4"/>
    <x v="156"/>
    <x v="0"/>
    <s v="Karnataka"/>
    <x v="1"/>
    <s v="Loan"/>
    <n v="0"/>
    <n v="0"/>
    <n v="1122421"/>
    <n v="0"/>
    <n v="0"/>
    <x v="190"/>
    <n v="39"/>
    <s v="Male"/>
    <n v="2845182"/>
    <x v="1"/>
    <x v="2"/>
    <s v="R. Patel"/>
  </r>
  <r>
    <s v="T100237"/>
    <x v="132"/>
    <x v="5"/>
    <x v="157"/>
    <x v="4"/>
    <s v="Delhi"/>
    <x v="0"/>
    <s v="Interest"/>
    <n v="0"/>
    <n v="0"/>
    <n v="0"/>
    <n v="0"/>
    <n v="3022.19"/>
    <x v="191"/>
    <n v="30"/>
    <s v="Male"/>
    <n v="530439"/>
    <x v="0"/>
    <x v="0"/>
    <s v="A. Sharma"/>
  </r>
  <r>
    <s v="T100238"/>
    <x v="73"/>
    <x v="6"/>
    <x v="33"/>
    <x v="3"/>
    <s v="Delhi"/>
    <x v="2"/>
    <s v="EMI"/>
    <n v="0"/>
    <n v="0"/>
    <n v="0"/>
    <n v="2146"/>
    <n v="0"/>
    <x v="12"/>
    <n v="61"/>
    <s v="Male"/>
    <n v="465802"/>
    <x v="0"/>
    <x v="4"/>
    <s v="S. Kumar"/>
  </r>
  <r>
    <s v="T100239"/>
    <x v="5"/>
    <x v="4"/>
    <x v="158"/>
    <x v="3"/>
    <s v="Tamil Nadu"/>
    <x v="2"/>
    <s v="Deposit"/>
    <n v="134854"/>
    <n v="0"/>
    <n v="0"/>
    <n v="0"/>
    <n v="0"/>
    <x v="176"/>
    <n v="69"/>
    <s v="Male"/>
    <n v="2970273"/>
    <x v="1"/>
    <x v="0"/>
    <s v="R. Patel"/>
  </r>
  <r>
    <s v="T100240"/>
    <x v="164"/>
    <x v="11"/>
    <x v="77"/>
    <x v="1"/>
    <s v="Telangana"/>
    <x v="1"/>
    <s v="Loan"/>
    <n v="0"/>
    <n v="0"/>
    <n v="381464"/>
    <n v="0"/>
    <n v="0"/>
    <x v="192"/>
    <n v="70"/>
    <s v="Female"/>
    <n v="1554036"/>
    <x v="1"/>
    <x v="1"/>
    <s v="A. Sharma"/>
  </r>
  <r>
    <s v="T100241"/>
    <x v="165"/>
    <x v="2"/>
    <x v="103"/>
    <x v="0"/>
    <s v="Maharashtra"/>
    <x v="0"/>
    <s v="Deposit"/>
    <n v="101504"/>
    <n v="0"/>
    <n v="0"/>
    <n v="0"/>
    <n v="0"/>
    <x v="193"/>
    <n v="40"/>
    <s v="Male"/>
    <n v="2137405"/>
    <x v="1"/>
    <x v="0"/>
    <s v="A. Sharma"/>
  </r>
  <r>
    <s v="T100242"/>
    <x v="75"/>
    <x v="8"/>
    <x v="159"/>
    <x v="0"/>
    <s v="Delhi"/>
    <x v="2"/>
    <s v="Deposit"/>
    <n v="14908"/>
    <n v="0"/>
    <n v="0"/>
    <n v="0"/>
    <n v="0"/>
    <x v="194"/>
    <n v="27"/>
    <s v="Female"/>
    <n v="2664920"/>
    <x v="1"/>
    <x v="0"/>
    <s v="S. Kumar"/>
  </r>
  <r>
    <s v="T100243"/>
    <x v="166"/>
    <x v="10"/>
    <x v="160"/>
    <x v="1"/>
    <s v="Maharashtra"/>
    <x v="2"/>
    <s v="EMI"/>
    <n v="0"/>
    <n v="0"/>
    <n v="0"/>
    <n v="10740"/>
    <n v="0"/>
    <x v="21"/>
    <n v="55"/>
    <s v="Female"/>
    <n v="1790007"/>
    <x v="0"/>
    <x v="4"/>
    <s v="A. Sharma"/>
  </r>
  <r>
    <s v="T100244"/>
    <x v="71"/>
    <x v="9"/>
    <x v="56"/>
    <x v="4"/>
    <s v="Telangana"/>
    <x v="1"/>
    <s v="Interest"/>
    <n v="0"/>
    <n v="0"/>
    <n v="0"/>
    <n v="0"/>
    <n v="4854.01"/>
    <x v="195"/>
    <n v="29"/>
    <s v="Male"/>
    <n v="1990166"/>
    <x v="1"/>
    <x v="0"/>
    <s v="N. Rao"/>
  </r>
  <r>
    <s v="T100245"/>
    <x v="87"/>
    <x v="3"/>
    <x v="161"/>
    <x v="5"/>
    <s v="Telangana"/>
    <x v="1"/>
    <s v="Withdrawal"/>
    <n v="0"/>
    <n v="16195"/>
    <n v="0"/>
    <n v="0"/>
    <n v="0"/>
    <x v="196"/>
    <n v="56"/>
    <s v="Female"/>
    <n v="1009783"/>
    <x v="1"/>
    <x v="0"/>
    <s v="N. Rao"/>
  </r>
  <r>
    <s v="T100246"/>
    <x v="167"/>
    <x v="2"/>
    <x v="159"/>
    <x v="5"/>
    <s v="Karnataka"/>
    <x v="0"/>
    <s v="Loan"/>
    <n v="0"/>
    <n v="0"/>
    <n v="677800"/>
    <n v="0"/>
    <n v="0"/>
    <x v="35"/>
    <n v="53"/>
    <s v="Male"/>
    <n v="2546387"/>
    <x v="1"/>
    <x v="2"/>
    <s v="R. Patel"/>
  </r>
  <r>
    <s v="T100247"/>
    <x v="164"/>
    <x v="11"/>
    <x v="45"/>
    <x v="2"/>
    <s v="Karnataka"/>
    <x v="1"/>
    <s v="Interest"/>
    <n v="0"/>
    <n v="0"/>
    <n v="0"/>
    <n v="0"/>
    <n v="8052.57"/>
    <x v="197"/>
    <n v="55"/>
    <s v="Male"/>
    <n v="2380313"/>
    <x v="1"/>
    <x v="0"/>
    <s v="R. Patel"/>
  </r>
  <r>
    <s v="T100248"/>
    <x v="168"/>
    <x v="6"/>
    <x v="87"/>
    <x v="1"/>
    <s v="Delhi"/>
    <x v="0"/>
    <s v="EMI"/>
    <n v="0"/>
    <n v="0"/>
    <n v="0"/>
    <n v="11297"/>
    <n v="0"/>
    <x v="198"/>
    <n v="35"/>
    <s v="Female"/>
    <n v="2803292"/>
    <x v="1"/>
    <x v="4"/>
    <s v="N. Rao"/>
  </r>
  <r>
    <s v="T100249"/>
    <x v="81"/>
    <x v="4"/>
    <x v="162"/>
    <x v="5"/>
    <s v="Telangana"/>
    <x v="1"/>
    <s v="Interest"/>
    <n v="0"/>
    <n v="0"/>
    <n v="0"/>
    <n v="0"/>
    <n v="54.41"/>
    <x v="199"/>
    <n v="57"/>
    <s v="Male"/>
    <n v="2570389"/>
    <x v="1"/>
    <x v="0"/>
    <s v="A. Sharma"/>
  </r>
  <r>
    <s v="T100250"/>
    <x v="169"/>
    <x v="2"/>
    <x v="163"/>
    <x v="5"/>
    <s v="Maharashtra"/>
    <x v="2"/>
    <s v="EMI"/>
    <n v="0"/>
    <n v="0"/>
    <n v="0"/>
    <n v="13088"/>
    <n v="0"/>
    <x v="200"/>
    <n v="53"/>
    <s v="Male"/>
    <n v="2175485"/>
    <x v="1"/>
    <x v="3"/>
    <s v="A. Sharma"/>
  </r>
  <r>
    <s v="T100251"/>
    <x v="96"/>
    <x v="10"/>
    <x v="29"/>
    <x v="4"/>
    <s v="Karnataka"/>
    <x v="1"/>
    <s v="Interest"/>
    <n v="0"/>
    <n v="0"/>
    <n v="0"/>
    <n v="0"/>
    <n v="4884.83"/>
    <x v="201"/>
    <n v="29"/>
    <s v="Male"/>
    <n v="1803170"/>
    <x v="1"/>
    <x v="0"/>
    <s v="A. Sharma"/>
  </r>
  <r>
    <s v="T100252"/>
    <x v="170"/>
    <x v="9"/>
    <x v="160"/>
    <x v="5"/>
    <s v="Telangana"/>
    <x v="3"/>
    <s v="Interest"/>
    <n v="0"/>
    <n v="0"/>
    <n v="0"/>
    <n v="0"/>
    <n v="4230.24"/>
    <x v="202"/>
    <n v="57"/>
    <s v="Female"/>
    <n v="1546948"/>
    <x v="1"/>
    <x v="0"/>
    <s v="P. Singh"/>
  </r>
  <r>
    <s v="T100253"/>
    <x v="148"/>
    <x v="7"/>
    <x v="164"/>
    <x v="2"/>
    <s v="Delhi"/>
    <x v="2"/>
    <s v="Withdrawal"/>
    <n v="0"/>
    <n v="70470"/>
    <n v="0"/>
    <n v="0"/>
    <n v="0"/>
    <x v="203"/>
    <n v="29"/>
    <s v="Female"/>
    <n v="2900880"/>
    <x v="0"/>
    <x v="0"/>
    <s v="P. Singh"/>
  </r>
  <r>
    <s v="T100254"/>
    <x v="171"/>
    <x v="9"/>
    <x v="124"/>
    <x v="3"/>
    <s v="Karnataka"/>
    <x v="2"/>
    <s v="Interest"/>
    <n v="0"/>
    <n v="0"/>
    <n v="0"/>
    <n v="0"/>
    <n v="5444.57"/>
    <x v="160"/>
    <n v="44"/>
    <s v="Female"/>
    <n v="1050640"/>
    <x v="0"/>
    <x v="0"/>
    <s v="P. Singh"/>
  </r>
  <r>
    <s v="T100255"/>
    <x v="130"/>
    <x v="7"/>
    <x v="19"/>
    <x v="4"/>
    <s v="Tamil Nadu"/>
    <x v="0"/>
    <s v="Withdrawal"/>
    <n v="0"/>
    <n v="4378"/>
    <n v="0"/>
    <n v="0"/>
    <n v="0"/>
    <x v="204"/>
    <n v="20"/>
    <s v="Male"/>
    <n v="2163406"/>
    <x v="1"/>
    <x v="0"/>
    <s v="A. Sharma"/>
  </r>
  <r>
    <s v="T100256"/>
    <x v="127"/>
    <x v="9"/>
    <x v="85"/>
    <x v="2"/>
    <s v="Maharashtra"/>
    <x v="2"/>
    <s v="EMI"/>
    <n v="0"/>
    <n v="0"/>
    <n v="0"/>
    <n v="23768"/>
    <n v="0"/>
    <x v="199"/>
    <n v="24"/>
    <s v="Male"/>
    <n v="1748139"/>
    <x v="0"/>
    <x v="1"/>
    <s v="A. Sharma"/>
  </r>
  <r>
    <s v="T100257"/>
    <x v="172"/>
    <x v="6"/>
    <x v="123"/>
    <x v="0"/>
    <s v="Tamil Nadu"/>
    <x v="0"/>
    <s v="Withdrawal"/>
    <n v="0"/>
    <n v="63799"/>
    <n v="0"/>
    <n v="0"/>
    <n v="0"/>
    <x v="205"/>
    <n v="28"/>
    <s v="Male"/>
    <n v="710525"/>
    <x v="1"/>
    <x v="0"/>
    <s v="A. Sharma"/>
  </r>
  <r>
    <s v="T100258"/>
    <x v="173"/>
    <x v="10"/>
    <x v="27"/>
    <x v="5"/>
    <s v="Telangana"/>
    <x v="3"/>
    <s v="Withdrawal"/>
    <n v="0"/>
    <n v="72902"/>
    <n v="0"/>
    <n v="0"/>
    <n v="0"/>
    <x v="8"/>
    <n v="63"/>
    <s v="Male"/>
    <n v="1596427"/>
    <x v="0"/>
    <x v="0"/>
    <s v="A. Sharma"/>
  </r>
  <r>
    <s v="T100259"/>
    <x v="110"/>
    <x v="1"/>
    <x v="67"/>
    <x v="4"/>
    <s v="Telangana"/>
    <x v="2"/>
    <s v="Interest"/>
    <n v="0"/>
    <n v="0"/>
    <n v="0"/>
    <n v="0"/>
    <n v="3641.36"/>
    <x v="206"/>
    <n v="62"/>
    <s v="Male"/>
    <n v="1110914"/>
    <x v="1"/>
    <x v="0"/>
    <s v="R. Patel"/>
  </r>
  <r>
    <s v="T100260"/>
    <x v="174"/>
    <x v="5"/>
    <x v="165"/>
    <x v="5"/>
    <s v="Karnataka"/>
    <x v="2"/>
    <s v="Interest"/>
    <n v="0"/>
    <n v="0"/>
    <n v="0"/>
    <n v="0"/>
    <n v="8823.4699999999993"/>
    <x v="207"/>
    <n v="55"/>
    <s v="Male"/>
    <n v="684259"/>
    <x v="0"/>
    <x v="0"/>
    <s v="A. Sharma"/>
  </r>
  <r>
    <s v="T100261"/>
    <x v="175"/>
    <x v="1"/>
    <x v="77"/>
    <x v="2"/>
    <s v="Telangana"/>
    <x v="1"/>
    <s v="EMI"/>
    <n v="0"/>
    <n v="0"/>
    <n v="0"/>
    <n v="40612"/>
    <n v="0"/>
    <x v="208"/>
    <n v="57"/>
    <s v="Female"/>
    <n v="2162990"/>
    <x v="0"/>
    <x v="1"/>
    <s v="A. Sharma"/>
  </r>
  <r>
    <s v="T100262"/>
    <x v="176"/>
    <x v="5"/>
    <x v="58"/>
    <x v="0"/>
    <s v="Tamil Nadu"/>
    <x v="2"/>
    <s v="Interest"/>
    <n v="0"/>
    <n v="0"/>
    <n v="0"/>
    <n v="0"/>
    <n v="9102.65"/>
    <x v="32"/>
    <n v="64"/>
    <s v="Male"/>
    <n v="2834615"/>
    <x v="1"/>
    <x v="0"/>
    <s v="P. Singh"/>
  </r>
  <r>
    <s v="T100263"/>
    <x v="66"/>
    <x v="4"/>
    <x v="125"/>
    <x v="1"/>
    <s v="Karnataka"/>
    <x v="3"/>
    <s v="Loan"/>
    <n v="0"/>
    <n v="0"/>
    <n v="1658266"/>
    <n v="0"/>
    <n v="0"/>
    <x v="65"/>
    <n v="27"/>
    <s v="Male"/>
    <n v="752441"/>
    <x v="0"/>
    <x v="1"/>
    <s v="A. Sharma"/>
  </r>
  <r>
    <s v="T100264"/>
    <x v="177"/>
    <x v="1"/>
    <x v="166"/>
    <x v="2"/>
    <s v="Telangana"/>
    <x v="1"/>
    <s v="EMI"/>
    <n v="0"/>
    <n v="0"/>
    <n v="0"/>
    <n v="25078"/>
    <n v="0"/>
    <x v="66"/>
    <n v="56"/>
    <s v="Female"/>
    <n v="334268"/>
    <x v="0"/>
    <x v="1"/>
    <s v="N. Rao"/>
  </r>
  <r>
    <s v="T100265"/>
    <x v="178"/>
    <x v="0"/>
    <x v="3"/>
    <x v="2"/>
    <s v="Telangana"/>
    <x v="0"/>
    <s v="Deposit"/>
    <n v="186969"/>
    <n v="0"/>
    <n v="0"/>
    <n v="0"/>
    <n v="0"/>
    <x v="209"/>
    <n v="44"/>
    <s v="Female"/>
    <n v="1853532"/>
    <x v="1"/>
    <x v="0"/>
    <s v="P. Singh"/>
  </r>
  <r>
    <s v="T100266"/>
    <x v="160"/>
    <x v="2"/>
    <x v="24"/>
    <x v="0"/>
    <s v="Telangana"/>
    <x v="1"/>
    <s v="Deposit"/>
    <n v="184215"/>
    <n v="0"/>
    <n v="0"/>
    <n v="0"/>
    <n v="0"/>
    <x v="210"/>
    <n v="65"/>
    <s v="Female"/>
    <n v="970267"/>
    <x v="0"/>
    <x v="0"/>
    <s v="N. Rao"/>
  </r>
  <r>
    <s v="T100267"/>
    <x v="179"/>
    <x v="5"/>
    <x v="3"/>
    <x v="3"/>
    <s v="Tamil Nadu"/>
    <x v="2"/>
    <s v="Withdrawal"/>
    <n v="0"/>
    <n v="44971"/>
    <n v="0"/>
    <n v="0"/>
    <n v="0"/>
    <x v="127"/>
    <n v="30"/>
    <s v="Male"/>
    <n v="722148"/>
    <x v="1"/>
    <x v="0"/>
    <s v="A. Sharma"/>
  </r>
  <r>
    <s v="T100268"/>
    <x v="180"/>
    <x v="7"/>
    <x v="157"/>
    <x v="0"/>
    <s v="Maharashtra"/>
    <x v="2"/>
    <s v="EMI"/>
    <n v="0"/>
    <n v="0"/>
    <n v="0"/>
    <n v="6857"/>
    <n v="0"/>
    <x v="164"/>
    <n v="26"/>
    <s v="Female"/>
    <n v="2634171"/>
    <x v="0"/>
    <x v="4"/>
    <s v="P. Singh"/>
  </r>
  <r>
    <s v="T100269"/>
    <x v="45"/>
    <x v="0"/>
    <x v="167"/>
    <x v="4"/>
    <s v="Maharashtra"/>
    <x v="1"/>
    <s v="Interest"/>
    <n v="0"/>
    <n v="0"/>
    <n v="0"/>
    <n v="0"/>
    <n v="9399.5300000000007"/>
    <x v="211"/>
    <n v="28"/>
    <s v="Male"/>
    <n v="1256953"/>
    <x v="1"/>
    <x v="0"/>
    <s v="R. Patel"/>
  </r>
  <r>
    <s v="T100270"/>
    <x v="27"/>
    <x v="11"/>
    <x v="168"/>
    <x v="0"/>
    <s v="Tamil Nadu"/>
    <x v="3"/>
    <s v="Interest"/>
    <n v="0"/>
    <n v="0"/>
    <n v="0"/>
    <n v="0"/>
    <n v="8460.31"/>
    <x v="212"/>
    <n v="39"/>
    <s v="Male"/>
    <n v="1883358"/>
    <x v="0"/>
    <x v="0"/>
    <s v="A. Sharma"/>
  </r>
  <r>
    <s v="T100271"/>
    <x v="181"/>
    <x v="7"/>
    <x v="169"/>
    <x v="1"/>
    <s v="Delhi"/>
    <x v="1"/>
    <s v="Deposit"/>
    <n v="43072"/>
    <n v="0"/>
    <n v="0"/>
    <n v="0"/>
    <n v="0"/>
    <x v="208"/>
    <n v="52"/>
    <s v="Female"/>
    <n v="1816814"/>
    <x v="1"/>
    <x v="0"/>
    <s v="A. Sharma"/>
  </r>
  <r>
    <s v="T100272"/>
    <x v="119"/>
    <x v="1"/>
    <x v="93"/>
    <x v="4"/>
    <s v="Maharashtra"/>
    <x v="0"/>
    <s v="Deposit"/>
    <n v="174883"/>
    <n v="0"/>
    <n v="0"/>
    <n v="0"/>
    <n v="0"/>
    <x v="213"/>
    <n v="42"/>
    <s v="Female"/>
    <n v="1886123"/>
    <x v="1"/>
    <x v="0"/>
    <s v="R. Patel"/>
  </r>
  <r>
    <s v="T100273"/>
    <x v="182"/>
    <x v="11"/>
    <x v="170"/>
    <x v="4"/>
    <s v="Delhi"/>
    <x v="2"/>
    <s v="Deposit"/>
    <n v="5837"/>
    <n v="0"/>
    <n v="0"/>
    <n v="0"/>
    <n v="0"/>
    <x v="214"/>
    <n v="18"/>
    <s v="Female"/>
    <n v="1549246"/>
    <x v="1"/>
    <x v="0"/>
    <s v="S. Kumar"/>
  </r>
  <r>
    <s v="T100274"/>
    <x v="24"/>
    <x v="8"/>
    <x v="171"/>
    <x v="2"/>
    <s v="Karnataka"/>
    <x v="1"/>
    <s v="Withdrawal"/>
    <n v="0"/>
    <n v="3222"/>
    <n v="0"/>
    <n v="0"/>
    <n v="0"/>
    <x v="131"/>
    <n v="40"/>
    <s v="Female"/>
    <n v="218142"/>
    <x v="1"/>
    <x v="0"/>
    <s v="N. Rao"/>
  </r>
  <r>
    <s v="T100275"/>
    <x v="118"/>
    <x v="8"/>
    <x v="157"/>
    <x v="2"/>
    <s v="Telangana"/>
    <x v="1"/>
    <s v="Interest"/>
    <n v="0"/>
    <n v="0"/>
    <n v="0"/>
    <n v="0"/>
    <n v="7536.04"/>
    <x v="215"/>
    <n v="49"/>
    <s v="Female"/>
    <n v="2695473"/>
    <x v="0"/>
    <x v="0"/>
    <s v="S. Kumar"/>
  </r>
  <r>
    <s v="T100276"/>
    <x v="183"/>
    <x v="4"/>
    <x v="75"/>
    <x v="4"/>
    <s v="Karnataka"/>
    <x v="3"/>
    <s v="Deposit"/>
    <n v="31197"/>
    <n v="0"/>
    <n v="0"/>
    <n v="0"/>
    <n v="0"/>
    <x v="216"/>
    <n v="58"/>
    <s v="Male"/>
    <n v="2408392"/>
    <x v="0"/>
    <x v="0"/>
    <s v="A. Sharma"/>
  </r>
  <r>
    <s v="T100277"/>
    <x v="96"/>
    <x v="10"/>
    <x v="172"/>
    <x v="1"/>
    <s v="Karnataka"/>
    <x v="0"/>
    <s v="Interest"/>
    <n v="0"/>
    <n v="0"/>
    <n v="0"/>
    <n v="0"/>
    <n v="827.94"/>
    <x v="147"/>
    <n v="50"/>
    <s v="Male"/>
    <n v="1385756"/>
    <x v="0"/>
    <x v="0"/>
    <s v="N. Rao"/>
  </r>
  <r>
    <s v="T100278"/>
    <x v="74"/>
    <x v="8"/>
    <x v="59"/>
    <x v="1"/>
    <s v="Tamil Nadu"/>
    <x v="1"/>
    <s v="Deposit"/>
    <n v="111738"/>
    <n v="0"/>
    <n v="0"/>
    <n v="0"/>
    <n v="0"/>
    <x v="217"/>
    <n v="66"/>
    <s v="Male"/>
    <n v="1600600"/>
    <x v="0"/>
    <x v="0"/>
    <s v="P. Singh"/>
  </r>
  <r>
    <s v="T100279"/>
    <x v="184"/>
    <x v="8"/>
    <x v="173"/>
    <x v="4"/>
    <s v="Tamil Nadu"/>
    <x v="2"/>
    <s v="Interest"/>
    <n v="0"/>
    <n v="0"/>
    <n v="0"/>
    <n v="0"/>
    <n v="3145.01"/>
    <x v="218"/>
    <n v="50"/>
    <s v="Male"/>
    <n v="2586272"/>
    <x v="0"/>
    <x v="0"/>
    <s v="P. Singh"/>
  </r>
  <r>
    <s v="T100280"/>
    <x v="94"/>
    <x v="7"/>
    <x v="12"/>
    <x v="4"/>
    <s v="Tamil Nadu"/>
    <x v="3"/>
    <s v="Withdrawal"/>
    <n v="0"/>
    <n v="18245"/>
    <n v="0"/>
    <n v="0"/>
    <n v="0"/>
    <x v="118"/>
    <n v="69"/>
    <s v="Male"/>
    <n v="817502"/>
    <x v="1"/>
    <x v="0"/>
    <s v="P. Singh"/>
  </r>
  <r>
    <s v="T100281"/>
    <x v="185"/>
    <x v="11"/>
    <x v="174"/>
    <x v="1"/>
    <s v="Telangana"/>
    <x v="0"/>
    <s v="Loan"/>
    <n v="0"/>
    <n v="0"/>
    <n v="1288338"/>
    <n v="0"/>
    <n v="0"/>
    <x v="219"/>
    <n v="58"/>
    <s v="Female"/>
    <n v="2819987"/>
    <x v="1"/>
    <x v="1"/>
    <s v="S. Kumar"/>
  </r>
  <r>
    <s v="T100282"/>
    <x v="2"/>
    <x v="2"/>
    <x v="0"/>
    <x v="3"/>
    <s v="Delhi"/>
    <x v="2"/>
    <s v="EMI"/>
    <n v="0"/>
    <n v="0"/>
    <n v="0"/>
    <n v="27193"/>
    <n v="0"/>
    <x v="68"/>
    <n v="52"/>
    <s v="Male"/>
    <n v="1253345"/>
    <x v="0"/>
    <x v="4"/>
    <s v="P. Singh"/>
  </r>
  <r>
    <s v="T100283"/>
    <x v="36"/>
    <x v="0"/>
    <x v="125"/>
    <x v="1"/>
    <s v="Telangana"/>
    <x v="2"/>
    <s v="Loan"/>
    <n v="0"/>
    <n v="0"/>
    <n v="996719"/>
    <n v="0"/>
    <n v="0"/>
    <x v="20"/>
    <n v="38"/>
    <s v="Male"/>
    <n v="695728"/>
    <x v="0"/>
    <x v="1"/>
    <s v="N. Rao"/>
  </r>
  <r>
    <s v="T100284"/>
    <x v="186"/>
    <x v="2"/>
    <x v="175"/>
    <x v="4"/>
    <s v="Tamil Nadu"/>
    <x v="3"/>
    <s v="Loan"/>
    <n v="0"/>
    <n v="0"/>
    <n v="1211232"/>
    <n v="0"/>
    <n v="0"/>
    <x v="44"/>
    <n v="67"/>
    <s v="Female"/>
    <n v="808796"/>
    <x v="0"/>
    <x v="2"/>
    <s v="P. Singh"/>
  </r>
  <r>
    <s v="T100285"/>
    <x v="187"/>
    <x v="10"/>
    <x v="176"/>
    <x v="0"/>
    <s v="Karnataka"/>
    <x v="2"/>
    <s v="Withdrawal"/>
    <n v="0"/>
    <n v="82406"/>
    <n v="0"/>
    <n v="0"/>
    <n v="0"/>
    <x v="220"/>
    <n v="20"/>
    <s v="Male"/>
    <n v="1682032"/>
    <x v="0"/>
    <x v="0"/>
    <s v="S. Kumar"/>
  </r>
  <r>
    <s v="T100286"/>
    <x v="188"/>
    <x v="5"/>
    <x v="75"/>
    <x v="0"/>
    <s v="Telangana"/>
    <x v="1"/>
    <s v="Withdrawal"/>
    <n v="0"/>
    <n v="25121"/>
    <n v="0"/>
    <n v="0"/>
    <n v="0"/>
    <x v="78"/>
    <n v="31"/>
    <s v="Female"/>
    <n v="1203206"/>
    <x v="1"/>
    <x v="0"/>
    <s v="P. Singh"/>
  </r>
  <r>
    <s v="T100287"/>
    <x v="126"/>
    <x v="10"/>
    <x v="102"/>
    <x v="5"/>
    <s v="Karnataka"/>
    <x v="1"/>
    <s v="Withdrawal"/>
    <n v="0"/>
    <n v="76564"/>
    <n v="0"/>
    <n v="0"/>
    <n v="0"/>
    <x v="221"/>
    <n v="28"/>
    <s v="Male"/>
    <n v="2849050"/>
    <x v="0"/>
    <x v="0"/>
    <s v="A. Sharma"/>
  </r>
  <r>
    <s v="T100288"/>
    <x v="189"/>
    <x v="8"/>
    <x v="8"/>
    <x v="0"/>
    <s v="Delhi"/>
    <x v="0"/>
    <s v="Withdrawal"/>
    <n v="0"/>
    <n v="7244"/>
    <n v="0"/>
    <n v="0"/>
    <n v="0"/>
    <x v="165"/>
    <n v="53"/>
    <s v="Female"/>
    <n v="562589"/>
    <x v="1"/>
    <x v="0"/>
    <s v="P. Singh"/>
  </r>
  <r>
    <s v="T100289"/>
    <x v="147"/>
    <x v="1"/>
    <x v="172"/>
    <x v="3"/>
    <s v="Delhi"/>
    <x v="3"/>
    <s v="EMI"/>
    <n v="0"/>
    <n v="0"/>
    <n v="0"/>
    <n v="30178"/>
    <n v="0"/>
    <x v="222"/>
    <n v="26"/>
    <s v="Female"/>
    <n v="1600600"/>
    <x v="0"/>
    <x v="4"/>
    <s v="A. Sharma"/>
  </r>
  <r>
    <s v="T100290"/>
    <x v="190"/>
    <x v="3"/>
    <x v="41"/>
    <x v="0"/>
    <s v="Delhi"/>
    <x v="1"/>
    <s v="Interest"/>
    <n v="0"/>
    <n v="0"/>
    <n v="0"/>
    <n v="0"/>
    <n v="884.52"/>
    <x v="223"/>
    <n v="56"/>
    <s v="Male"/>
    <n v="1420621"/>
    <x v="0"/>
    <x v="0"/>
    <s v="R. Patel"/>
  </r>
  <r>
    <s v="T100291"/>
    <x v="191"/>
    <x v="9"/>
    <x v="177"/>
    <x v="3"/>
    <s v="Tamil Nadu"/>
    <x v="1"/>
    <s v="Deposit"/>
    <n v="82665"/>
    <n v="0"/>
    <n v="0"/>
    <n v="0"/>
    <n v="0"/>
    <x v="132"/>
    <n v="63"/>
    <s v="Male"/>
    <n v="2373237"/>
    <x v="0"/>
    <x v="0"/>
    <s v="A. Sharma"/>
  </r>
  <r>
    <s v="T100292"/>
    <x v="192"/>
    <x v="4"/>
    <x v="13"/>
    <x v="4"/>
    <s v="Karnataka"/>
    <x v="2"/>
    <s v="Deposit"/>
    <n v="22932"/>
    <n v="0"/>
    <n v="0"/>
    <n v="0"/>
    <n v="0"/>
    <x v="224"/>
    <n v="42"/>
    <s v="Female"/>
    <n v="402718"/>
    <x v="1"/>
    <x v="0"/>
    <s v="S. Kumar"/>
  </r>
  <r>
    <s v="T100293"/>
    <x v="193"/>
    <x v="3"/>
    <x v="178"/>
    <x v="0"/>
    <s v="Maharashtra"/>
    <x v="1"/>
    <s v="Withdrawal"/>
    <n v="0"/>
    <n v="82378"/>
    <n v="0"/>
    <n v="0"/>
    <n v="0"/>
    <x v="65"/>
    <n v="43"/>
    <s v="Female"/>
    <n v="1574124"/>
    <x v="0"/>
    <x v="0"/>
    <s v="R. Patel"/>
  </r>
  <r>
    <s v="T100294"/>
    <x v="194"/>
    <x v="9"/>
    <x v="23"/>
    <x v="1"/>
    <s v="Maharashtra"/>
    <x v="3"/>
    <s v="Deposit"/>
    <n v="139136"/>
    <n v="0"/>
    <n v="0"/>
    <n v="0"/>
    <n v="0"/>
    <x v="203"/>
    <n v="66"/>
    <s v="Male"/>
    <n v="2386293"/>
    <x v="0"/>
    <x v="0"/>
    <s v="N. Rao"/>
  </r>
  <r>
    <s v="T100295"/>
    <x v="29"/>
    <x v="6"/>
    <x v="179"/>
    <x v="1"/>
    <s v="Telangana"/>
    <x v="0"/>
    <s v="Deposit"/>
    <n v="163837"/>
    <n v="0"/>
    <n v="0"/>
    <n v="0"/>
    <n v="0"/>
    <x v="192"/>
    <n v="68"/>
    <s v="Female"/>
    <n v="1444022"/>
    <x v="1"/>
    <x v="0"/>
    <s v="A. Sharma"/>
  </r>
  <r>
    <s v="T100296"/>
    <x v="100"/>
    <x v="8"/>
    <x v="180"/>
    <x v="4"/>
    <s v="Delhi"/>
    <x v="3"/>
    <s v="Loan"/>
    <n v="0"/>
    <n v="0"/>
    <n v="434694"/>
    <n v="0"/>
    <n v="0"/>
    <x v="61"/>
    <n v="34"/>
    <s v="Male"/>
    <n v="1400484"/>
    <x v="0"/>
    <x v="2"/>
    <s v="P. Singh"/>
  </r>
  <r>
    <s v="T100297"/>
    <x v="63"/>
    <x v="10"/>
    <x v="159"/>
    <x v="1"/>
    <s v="Maharashtra"/>
    <x v="1"/>
    <s v="Deposit"/>
    <n v="99795"/>
    <n v="0"/>
    <n v="0"/>
    <n v="0"/>
    <n v="0"/>
    <x v="225"/>
    <n v="25"/>
    <s v="Female"/>
    <n v="599106"/>
    <x v="1"/>
    <x v="0"/>
    <s v="N. Rao"/>
  </r>
  <r>
    <s v="T100298"/>
    <x v="98"/>
    <x v="1"/>
    <x v="76"/>
    <x v="0"/>
    <s v="Tamil Nadu"/>
    <x v="3"/>
    <s v="Loan"/>
    <n v="0"/>
    <n v="0"/>
    <n v="1547733"/>
    <n v="0"/>
    <n v="0"/>
    <x v="226"/>
    <n v="21"/>
    <s v="Male"/>
    <n v="1239610"/>
    <x v="1"/>
    <x v="1"/>
    <s v="R. Patel"/>
  </r>
  <r>
    <s v="T100299"/>
    <x v="82"/>
    <x v="3"/>
    <x v="167"/>
    <x v="5"/>
    <s v="Delhi"/>
    <x v="2"/>
    <s v="Loan"/>
    <n v="0"/>
    <n v="0"/>
    <n v="0"/>
    <n v="0"/>
    <n v="0"/>
    <x v="105"/>
    <n v="58"/>
    <s v="Female"/>
    <n v="2166630"/>
    <x v="1"/>
    <x v="2"/>
    <s v="S. Kumar"/>
  </r>
  <r>
    <s v="T100300"/>
    <x v="159"/>
    <x v="5"/>
    <x v="181"/>
    <x v="2"/>
    <s v="Delhi"/>
    <x v="0"/>
    <s v="Deposit"/>
    <n v="68960"/>
    <n v="0"/>
    <n v="0"/>
    <n v="0"/>
    <n v="0"/>
    <x v="227"/>
    <n v="55"/>
    <s v="Female"/>
    <n v="1973053"/>
    <x v="0"/>
    <x v="0"/>
    <s v="N. Rao"/>
  </r>
  <r>
    <s v="T100301"/>
    <x v="195"/>
    <x v="0"/>
    <x v="182"/>
    <x v="3"/>
    <s v="Delhi"/>
    <x v="0"/>
    <s v="EMI"/>
    <n v="0"/>
    <n v="0"/>
    <n v="0"/>
    <n v="48993"/>
    <n v="0"/>
    <x v="228"/>
    <n v="55"/>
    <s v="Male"/>
    <n v="607182"/>
    <x v="1"/>
    <x v="1"/>
    <s v="S. Kumar"/>
  </r>
  <r>
    <s v="T100302"/>
    <x v="196"/>
    <x v="10"/>
    <x v="183"/>
    <x v="2"/>
    <s v="Telangana"/>
    <x v="0"/>
    <s v="Deposit"/>
    <n v="143034"/>
    <n v="0"/>
    <n v="0"/>
    <n v="0"/>
    <n v="0"/>
    <x v="140"/>
    <n v="43"/>
    <s v="Male"/>
    <n v="1163539"/>
    <x v="1"/>
    <x v="0"/>
    <s v="P. Singh"/>
  </r>
  <r>
    <s v="T100303"/>
    <x v="197"/>
    <x v="7"/>
    <x v="184"/>
    <x v="5"/>
    <s v="Karnataka"/>
    <x v="0"/>
    <s v="EMI"/>
    <n v="0"/>
    <n v="0"/>
    <n v="0"/>
    <n v="36916"/>
    <n v="0"/>
    <x v="229"/>
    <n v="35"/>
    <s v="Male"/>
    <n v="626363"/>
    <x v="0"/>
    <x v="4"/>
    <s v="A. Sharma"/>
  </r>
  <r>
    <s v="T100304"/>
    <x v="7"/>
    <x v="6"/>
    <x v="13"/>
    <x v="3"/>
    <s v="Telangana"/>
    <x v="3"/>
    <s v="Withdrawal"/>
    <n v="0"/>
    <n v="90303"/>
    <n v="0"/>
    <n v="0"/>
    <n v="0"/>
    <x v="230"/>
    <n v="50"/>
    <s v="Male"/>
    <n v="822166"/>
    <x v="1"/>
    <x v="0"/>
    <s v="R. Patel"/>
  </r>
  <r>
    <s v="T100305"/>
    <x v="198"/>
    <x v="8"/>
    <x v="3"/>
    <x v="3"/>
    <s v="Tamil Nadu"/>
    <x v="2"/>
    <s v="Withdrawal"/>
    <n v="0"/>
    <n v="4138"/>
    <n v="0"/>
    <n v="0"/>
    <n v="0"/>
    <x v="231"/>
    <n v="67"/>
    <s v="Male"/>
    <n v="451576"/>
    <x v="0"/>
    <x v="0"/>
    <s v="S. Kumar"/>
  </r>
  <r>
    <s v="T100306"/>
    <x v="199"/>
    <x v="8"/>
    <x v="7"/>
    <x v="1"/>
    <s v="Maharashtra"/>
    <x v="0"/>
    <s v="Withdrawal"/>
    <n v="0"/>
    <n v="20203"/>
    <n v="0"/>
    <n v="0"/>
    <n v="0"/>
    <x v="232"/>
    <n v="34"/>
    <s v="Male"/>
    <n v="975162"/>
    <x v="0"/>
    <x v="0"/>
    <s v="S. Kumar"/>
  </r>
  <r>
    <s v="T100307"/>
    <x v="133"/>
    <x v="8"/>
    <x v="27"/>
    <x v="1"/>
    <s v="Delhi"/>
    <x v="3"/>
    <s v="Loan"/>
    <n v="0"/>
    <n v="0"/>
    <n v="653259"/>
    <n v="0"/>
    <n v="0"/>
    <x v="233"/>
    <n v="33"/>
    <s v="Male"/>
    <n v="1713722"/>
    <x v="0"/>
    <x v="1"/>
    <s v="S. Kumar"/>
  </r>
  <r>
    <s v="T100308"/>
    <x v="57"/>
    <x v="2"/>
    <x v="84"/>
    <x v="2"/>
    <s v="Maharashtra"/>
    <x v="3"/>
    <s v="Interest"/>
    <n v="0"/>
    <n v="0"/>
    <n v="0"/>
    <n v="0"/>
    <n v="6718.73"/>
    <x v="234"/>
    <n v="64"/>
    <s v="Male"/>
    <n v="727276"/>
    <x v="1"/>
    <x v="0"/>
    <s v="R. Patel"/>
  </r>
  <r>
    <s v="T100309"/>
    <x v="27"/>
    <x v="11"/>
    <x v="133"/>
    <x v="5"/>
    <s v="Tamil Nadu"/>
    <x v="0"/>
    <s v="Deposit"/>
    <n v="191504"/>
    <n v="0"/>
    <n v="0"/>
    <n v="0"/>
    <n v="0"/>
    <x v="235"/>
    <n v="46"/>
    <s v="Male"/>
    <n v="2460855"/>
    <x v="1"/>
    <x v="0"/>
    <s v="S. Kumar"/>
  </r>
  <r>
    <s v="T100310"/>
    <x v="101"/>
    <x v="5"/>
    <x v="185"/>
    <x v="1"/>
    <s v="Delhi"/>
    <x v="1"/>
    <s v="EMI"/>
    <n v="0"/>
    <n v="0"/>
    <n v="0"/>
    <n v="7996"/>
    <n v="0"/>
    <x v="163"/>
    <n v="20"/>
    <s v="Female"/>
    <n v="2014506"/>
    <x v="1"/>
    <x v="1"/>
    <s v="N. Rao"/>
  </r>
  <r>
    <s v="T100311"/>
    <x v="200"/>
    <x v="5"/>
    <x v="183"/>
    <x v="3"/>
    <s v="Karnataka"/>
    <x v="0"/>
    <s v="Loan"/>
    <n v="0"/>
    <n v="0"/>
    <n v="264838"/>
    <n v="0"/>
    <n v="0"/>
    <x v="236"/>
    <n v="65"/>
    <s v="Female"/>
    <n v="1540892"/>
    <x v="0"/>
    <x v="2"/>
    <s v="R. Patel"/>
  </r>
  <r>
    <s v="T100312"/>
    <x v="201"/>
    <x v="10"/>
    <x v="121"/>
    <x v="4"/>
    <s v="Tamil Nadu"/>
    <x v="3"/>
    <s v="Withdrawal"/>
    <n v="0"/>
    <n v="92749"/>
    <n v="0"/>
    <n v="0"/>
    <n v="0"/>
    <x v="119"/>
    <n v="37"/>
    <s v="Female"/>
    <n v="2213610"/>
    <x v="1"/>
    <x v="0"/>
    <s v="S. Kumar"/>
  </r>
  <r>
    <s v="T100313"/>
    <x v="115"/>
    <x v="4"/>
    <x v="110"/>
    <x v="4"/>
    <s v="Telangana"/>
    <x v="1"/>
    <s v="EMI"/>
    <n v="0"/>
    <n v="0"/>
    <n v="0"/>
    <n v="41851"/>
    <n v="0"/>
    <x v="237"/>
    <n v="57"/>
    <s v="Female"/>
    <n v="939973"/>
    <x v="1"/>
    <x v="1"/>
    <s v="A. Sharma"/>
  </r>
  <r>
    <s v="T100314"/>
    <x v="74"/>
    <x v="8"/>
    <x v="113"/>
    <x v="2"/>
    <s v="Maharashtra"/>
    <x v="0"/>
    <s v="EMI"/>
    <n v="0"/>
    <n v="0"/>
    <n v="0"/>
    <n v="25033"/>
    <n v="0"/>
    <x v="238"/>
    <n v="25"/>
    <s v="Male"/>
    <n v="2599089"/>
    <x v="1"/>
    <x v="4"/>
    <s v="P. Singh"/>
  </r>
  <r>
    <s v="T100315"/>
    <x v="202"/>
    <x v="6"/>
    <x v="78"/>
    <x v="3"/>
    <s v="Maharashtra"/>
    <x v="2"/>
    <s v="Withdrawal"/>
    <n v="0"/>
    <n v="83050"/>
    <n v="0"/>
    <n v="0"/>
    <n v="0"/>
    <x v="116"/>
    <n v="45"/>
    <s v="Female"/>
    <n v="2756772"/>
    <x v="0"/>
    <x v="0"/>
    <s v="S. Kumar"/>
  </r>
  <r>
    <s v="T100316"/>
    <x v="203"/>
    <x v="3"/>
    <x v="105"/>
    <x v="5"/>
    <s v="Telangana"/>
    <x v="3"/>
    <s v="Deposit"/>
    <n v="18311"/>
    <n v="0"/>
    <n v="0"/>
    <n v="0"/>
    <n v="0"/>
    <x v="88"/>
    <n v="44"/>
    <s v="Female"/>
    <n v="2112878"/>
    <x v="1"/>
    <x v="0"/>
    <s v="R. Patel"/>
  </r>
  <r>
    <s v="T100317"/>
    <x v="65"/>
    <x v="2"/>
    <x v="186"/>
    <x v="5"/>
    <s v="Telangana"/>
    <x v="1"/>
    <s v="Withdrawal"/>
    <n v="0"/>
    <n v="9602"/>
    <n v="0"/>
    <n v="0"/>
    <n v="0"/>
    <x v="67"/>
    <n v="29"/>
    <s v="Female"/>
    <n v="426935"/>
    <x v="0"/>
    <x v="0"/>
    <s v="P. Singh"/>
  </r>
  <r>
    <s v="T100318"/>
    <x v="162"/>
    <x v="2"/>
    <x v="155"/>
    <x v="5"/>
    <s v="Maharashtra"/>
    <x v="0"/>
    <s v="EMI"/>
    <n v="0"/>
    <n v="0"/>
    <n v="0"/>
    <n v="36463"/>
    <n v="0"/>
    <x v="239"/>
    <n v="44"/>
    <s v="Female"/>
    <n v="1250113"/>
    <x v="0"/>
    <x v="4"/>
    <s v="S. Kumar"/>
  </r>
  <r>
    <s v="T100319"/>
    <x v="64"/>
    <x v="3"/>
    <x v="187"/>
    <x v="0"/>
    <s v="Maharashtra"/>
    <x v="3"/>
    <s v="Loan"/>
    <n v="0"/>
    <n v="0"/>
    <n v="758319"/>
    <n v="0"/>
    <n v="0"/>
    <x v="187"/>
    <n v="49"/>
    <s v="Male"/>
    <n v="1951484"/>
    <x v="0"/>
    <x v="1"/>
    <s v="A. Sharma"/>
  </r>
  <r>
    <s v="T100320"/>
    <x v="124"/>
    <x v="9"/>
    <x v="188"/>
    <x v="5"/>
    <s v="Telangana"/>
    <x v="2"/>
    <s v="Loan"/>
    <n v="0"/>
    <n v="0"/>
    <n v="1496962"/>
    <n v="0"/>
    <n v="0"/>
    <x v="240"/>
    <n v="65"/>
    <s v="Male"/>
    <n v="2083450"/>
    <x v="1"/>
    <x v="1"/>
    <s v="S. Kumar"/>
  </r>
  <r>
    <s v="T100321"/>
    <x v="0"/>
    <x v="0"/>
    <x v="16"/>
    <x v="3"/>
    <s v="Tamil Nadu"/>
    <x v="1"/>
    <s v="EMI"/>
    <n v="0"/>
    <n v="0"/>
    <n v="0"/>
    <n v="8671"/>
    <n v="0"/>
    <x v="241"/>
    <n v="53"/>
    <s v="Male"/>
    <n v="1740672"/>
    <x v="0"/>
    <x v="1"/>
    <s v="S. Kumar"/>
  </r>
  <r>
    <s v="T100323"/>
    <x v="204"/>
    <x v="8"/>
    <x v="189"/>
    <x v="2"/>
    <s v="Telangana"/>
    <x v="2"/>
    <s v="Deposit"/>
    <n v="161826"/>
    <n v="0"/>
    <n v="0"/>
    <n v="0"/>
    <n v="0"/>
    <x v="80"/>
    <n v="34"/>
    <s v="Male"/>
    <n v="1493676"/>
    <x v="0"/>
    <x v="0"/>
    <s v="R. Patel"/>
  </r>
  <r>
    <s v="T100324"/>
    <x v="17"/>
    <x v="4"/>
    <x v="23"/>
    <x v="2"/>
    <s v="Karnataka"/>
    <x v="0"/>
    <s v="Interest"/>
    <n v="0"/>
    <n v="0"/>
    <n v="0"/>
    <n v="0"/>
    <n v="5901.42"/>
    <x v="25"/>
    <n v="45"/>
    <s v="Female"/>
    <n v="2864367"/>
    <x v="1"/>
    <x v="0"/>
    <s v="P. Singh"/>
  </r>
  <r>
    <s v="T100325"/>
    <x v="205"/>
    <x v="3"/>
    <x v="190"/>
    <x v="1"/>
    <s v="Maharashtra"/>
    <x v="1"/>
    <s v="Interest"/>
    <n v="0"/>
    <n v="0"/>
    <n v="0"/>
    <n v="0"/>
    <n v="772.13"/>
    <x v="242"/>
    <n v="23"/>
    <s v="Male"/>
    <n v="1139022"/>
    <x v="0"/>
    <x v="0"/>
    <s v="N. Rao"/>
  </r>
  <r>
    <s v="T100326"/>
    <x v="201"/>
    <x v="10"/>
    <x v="31"/>
    <x v="5"/>
    <s v="Tamil Nadu"/>
    <x v="1"/>
    <s v="Loan"/>
    <n v="0"/>
    <n v="0"/>
    <n v="493343"/>
    <n v="0"/>
    <n v="0"/>
    <x v="243"/>
    <n v="33"/>
    <s v="Female"/>
    <n v="702327"/>
    <x v="0"/>
    <x v="2"/>
    <s v="N. Rao"/>
  </r>
  <r>
    <s v="T100327"/>
    <x v="71"/>
    <x v="9"/>
    <x v="47"/>
    <x v="3"/>
    <s v="Maharashtra"/>
    <x v="2"/>
    <s v="Interest"/>
    <n v="0"/>
    <n v="0"/>
    <n v="0"/>
    <n v="0"/>
    <n v="4189.92"/>
    <x v="244"/>
    <n v="40"/>
    <s v="Male"/>
    <n v="1774020"/>
    <x v="1"/>
    <x v="0"/>
    <s v="N. Rao"/>
  </r>
  <r>
    <s v="T100328"/>
    <x v="206"/>
    <x v="8"/>
    <x v="191"/>
    <x v="4"/>
    <s v="Telangana"/>
    <x v="0"/>
    <s v="Loan"/>
    <n v="0"/>
    <n v="0"/>
    <n v="1509875"/>
    <n v="0"/>
    <n v="0"/>
    <x v="245"/>
    <n v="53"/>
    <s v="Male"/>
    <n v="2175909"/>
    <x v="1"/>
    <x v="2"/>
    <s v="A. Sharma"/>
  </r>
  <r>
    <s v="T100329"/>
    <x v="207"/>
    <x v="9"/>
    <x v="117"/>
    <x v="3"/>
    <s v="Tamil Nadu"/>
    <x v="2"/>
    <s v="EMI"/>
    <n v="0"/>
    <n v="0"/>
    <n v="0"/>
    <n v="35674"/>
    <n v="0"/>
    <x v="46"/>
    <n v="67"/>
    <s v="Female"/>
    <n v="1297864"/>
    <x v="0"/>
    <x v="4"/>
    <s v="A. Sharma"/>
  </r>
  <r>
    <s v="T100330"/>
    <x v="208"/>
    <x v="2"/>
    <x v="62"/>
    <x v="1"/>
    <s v="Tamil Nadu"/>
    <x v="1"/>
    <s v="Loan"/>
    <n v="0"/>
    <n v="0"/>
    <n v="1417386"/>
    <n v="0"/>
    <n v="0"/>
    <x v="246"/>
    <n v="45"/>
    <s v="Female"/>
    <n v="2885337"/>
    <x v="1"/>
    <x v="2"/>
    <s v="A. Sharma"/>
  </r>
  <r>
    <s v="T100331"/>
    <x v="88"/>
    <x v="7"/>
    <x v="26"/>
    <x v="4"/>
    <s v="Tamil Nadu"/>
    <x v="0"/>
    <s v="Withdrawal"/>
    <n v="0"/>
    <n v="36734"/>
    <n v="0"/>
    <n v="0"/>
    <n v="0"/>
    <x v="216"/>
    <n v="67"/>
    <s v="Male"/>
    <n v="296712"/>
    <x v="1"/>
    <x v="0"/>
    <s v="N. Rao"/>
  </r>
  <r>
    <s v="T100332"/>
    <x v="209"/>
    <x v="1"/>
    <x v="37"/>
    <x v="3"/>
    <s v="Karnataka"/>
    <x v="2"/>
    <s v="Withdrawal"/>
    <n v="0"/>
    <n v="84574"/>
    <n v="0"/>
    <n v="0"/>
    <n v="0"/>
    <x v="229"/>
    <n v="24"/>
    <s v="Female"/>
    <n v="2935495"/>
    <x v="1"/>
    <x v="0"/>
    <s v="N. Rao"/>
  </r>
  <r>
    <s v="T100333"/>
    <x v="210"/>
    <x v="7"/>
    <x v="141"/>
    <x v="0"/>
    <s v="Karnataka"/>
    <x v="3"/>
    <s v="Deposit"/>
    <n v="20620"/>
    <n v="0"/>
    <n v="0"/>
    <n v="0"/>
    <n v="0"/>
    <x v="122"/>
    <n v="52"/>
    <s v="Male"/>
    <n v="859523"/>
    <x v="0"/>
    <x v="0"/>
    <s v="S. Kumar"/>
  </r>
  <r>
    <s v="T100334"/>
    <x v="211"/>
    <x v="2"/>
    <x v="39"/>
    <x v="1"/>
    <s v="Telangana"/>
    <x v="2"/>
    <s v="Withdrawal"/>
    <n v="0"/>
    <n v="88448"/>
    <n v="0"/>
    <n v="0"/>
    <n v="0"/>
    <x v="247"/>
    <n v="40"/>
    <s v="Female"/>
    <n v="1445296"/>
    <x v="0"/>
    <x v="0"/>
    <s v="R. Patel"/>
  </r>
  <r>
    <s v="T100335"/>
    <x v="212"/>
    <x v="0"/>
    <x v="98"/>
    <x v="5"/>
    <s v="Delhi"/>
    <x v="3"/>
    <s v="Deposit"/>
    <n v="184378"/>
    <n v="0"/>
    <n v="0"/>
    <n v="0"/>
    <n v="0"/>
    <x v="248"/>
    <n v="36"/>
    <s v="Male"/>
    <n v="701529"/>
    <x v="0"/>
    <x v="0"/>
    <s v="S. Kumar"/>
  </r>
  <r>
    <s v="T100336"/>
    <x v="12"/>
    <x v="1"/>
    <x v="114"/>
    <x v="3"/>
    <s v="Maharashtra"/>
    <x v="1"/>
    <s v="Deposit"/>
    <n v="135954"/>
    <n v="0"/>
    <n v="0"/>
    <n v="0"/>
    <n v="0"/>
    <x v="139"/>
    <n v="39"/>
    <s v="Female"/>
    <n v="924691"/>
    <x v="0"/>
    <x v="0"/>
    <s v="A. Sharma"/>
  </r>
  <r>
    <s v="T100337"/>
    <x v="80"/>
    <x v="0"/>
    <x v="192"/>
    <x v="1"/>
    <s v="Telangana"/>
    <x v="2"/>
    <s v="Loan"/>
    <n v="0"/>
    <n v="0"/>
    <n v="1193441"/>
    <n v="0"/>
    <n v="0"/>
    <x v="249"/>
    <n v="51"/>
    <s v="Female"/>
    <n v="1570728"/>
    <x v="0"/>
    <x v="1"/>
    <s v="P. Singh"/>
  </r>
  <r>
    <s v="T100338"/>
    <x v="90"/>
    <x v="0"/>
    <x v="95"/>
    <x v="4"/>
    <s v="Delhi"/>
    <x v="3"/>
    <s v="Deposit"/>
    <n v="51520"/>
    <n v="0"/>
    <n v="0"/>
    <n v="0"/>
    <n v="0"/>
    <x v="250"/>
    <n v="67"/>
    <s v="Female"/>
    <n v="624276"/>
    <x v="1"/>
    <x v="0"/>
    <s v="S. Kumar"/>
  </r>
  <r>
    <s v="T100340"/>
    <x v="213"/>
    <x v="3"/>
    <x v="193"/>
    <x v="5"/>
    <s v="Tamil Nadu"/>
    <x v="1"/>
    <s v="Loan"/>
    <n v="0"/>
    <n v="0"/>
    <n v="379402"/>
    <n v="0"/>
    <n v="0"/>
    <x v="25"/>
    <n v="29"/>
    <s v="Female"/>
    <n v="1360442"/>
    <x v="1"/>
    <x v="1"/>
    <s v="R. Patel"/>
  </r>
  <r>
    <s v="T100341"/>
    <x v="10"/>
    <x v="8"/>
    <x v="98"/>
    <x v="3"/>
    <s v="Telangana"/>
    <x v="3"/>
    <s v="Deposit"/>
    <n v="90087"/>
    <n v="0"/>
    <n v="0"/>
    <n v="0"/>
    <n v="0"/>
    <x v="251"/>
    <n v="20"/>
    <s v="Female"/>
    <n v="1046307"/>
    <x v="0"/>
    <x v="0"/>
    <s v="P. Singh"/>
  </r>
  <r>
    <s v="T100342"/>
    <x v="201"/>
    <x v="10"/>
    <x v="8"/>
    <x v="3"/>
    <s v="Karnataka"/>
    <x v="3"/>
    <s v="Deposit"/>
    <n v="172792"/>
    <n v="0"/>
    <n v="0"/>
    <n v="0"/>
    <n v="0"/>
    <x v="252"/>
    <n v="38"/>
    <s v="Male"/>
    <n v="918313"/>
    <x v="0"/>
    <x v="0"/>
    <s v="P. Singh"/>
  </r>
  <r>
    <s v="T100343"/>
    <x v="132"/>
    <x v="5"/>
    <x v="194"/>
    <x v="4"/>
    <s v="Telangana"/>
    <x v="1"/>
    <s v="Deposit"/>
    <n v="73135"/>
    <n v="0"/>
    <n v="0"/>
    <n v="0"/>
    <n v="0"/>
    <x v="253"/>
    <n v="49"/>
    <s v="Male"/>
    <n v="2766869"/>
    <x v="0"/>
    <x v="0"/>
    <s v="N. Rao"/>
  </r>
  <r>
    <s v="T100344"/>
    <x v="108"/>
    <x v="2"/>
    <x v="100"/>
    <x v="1"/>
    <s v="Telangana"/>
    <x v="0"/>
    <s v="Loan"/>
    <n v="0"/>
    <n v="0"/>
    <n v="706462"/>
    <n v="0"/>
    <n v="0"/>
    <x v="87"/>
    <n v="50"/>
    <s v="Female"/>
    <n v="2789657"/>
    <x v="1"/>
    <x v="1"/>
    <s v="N. Rao"/>
  </r>
  <r>
    <s v="T100345"/>
    <x v="214"/>
    <x v="11"/>
    <x v="195"/>
    <x v="3"/>
    <s v="Tamil Nadu"/>
    <x v="1"/>
    <s v="EMI"/>
    <n v="0"/>
    <n v="0"/>
    <n v="0"/>
    <n v="35447"/>
    <n v="0"/>
    <x v="254"/>
    <n v="39"/>
    <s v="Male"/>
    <n v="426819"/>
    <x v="0"/>
    <x v="1"/>
    <s v="N. Rao"/>
  </r>
  <r>
    <s v="T100346"/>
    <x v="215"/>
    <x v="4"/>
    <x v="146"/>
    <x v="5"/>
    <s v="Karnataka"/>
    <x v="0"/>
    <s v="Withdrawal"/>
    <n v="0"/>
    <n v="6535"/>
    <n v="0"/>
    <n v="0"/>
    <n v="0"/>
    <x v="255"/>
    <n v="31"/>
    <s v="Female"/>
    <n v="2542889"/>
    <x v="1"/>
    <x v="0"/>
    <s v="N. Rao"/>
  </r>
  <r>
    <s v="T100347"/>
    <x v="66"/>
    <x v="4"/>
    <x v="11"/>
    <x v="0"/>
    <s v="Tamil Nadu"/>
    <x v="3"/>
    <s v="EMI"/>
    <n v="0"/>
    <n v="0"/>
    <n v="0"/>
    <n v="40245"/>
    <n v="0"/>
    <x v="256"/>
    <n v="51"/>
    <s v="Male"/>
    <n v="344751"/>
    <x v="0"/>
    <x v="4"/>
    <s v="P. Singh"/>
  </r>
  <r>
    <s v="T100348"/>
    <x v="216"/>
    <x v="9"/>
    <x v="196"/>
    <x v="1"/>
    <s v="Karnataka"/>
    <x v="0"/>
    <s v="EMI"/>
    <n v="0"/>
    <n v="0"/>
    <n v="0"/>
    <n v="41185"/>
    <n v="0"/>
    <x v="257"/>
    <n v="51"/>
    <s v="Male"/>
    <n v="813399"/>
    <x v="0"/>
    <x v="3"/>
    <s v="P. Singh"/>
  </r>
  <r>
    <s v="T100349"/>
    <x v="91"/>
    <x v="2"/>
    <x v="122"/>
    <x v="4"/>
    <s v="Delhi"/>
    <x v="0"/>
    <s v="Loan"/>
    <n v="0"/>
    <n v="0"/>
    <n v="1929446"/>
    <n v="0"/>
    <n v="0"/>
    <x v="258"/>
    <n v="58"/>
    <s v="Female"/>
    <n v="804857"/>
    <x v="1"/>
    <x v="1"/>
    <s v="P. Singh"/>
  </r>
  <r>
    <s v="T100350"/>
    <x v="79"/>
    <x v="0"/>
    <x v="180"/>
    <x v="2"/>
    <s v="Delhi"/>
    <x v="2"/>
    <s v="EMI"/>
    <n v="0"/>
    <n v="0"/>
    <n v="0"/>
    <n v="11433"/>
    <n v="0"/>
    <x v="173"/>
    <n v="23"/>
    <s v="Female"/>
    <n v="1621525"/>
    <x v="1"/>
    <x v="3"/>
    <s v="A. Sharma"/>
  </r>
  <r>
    <s v="T100351"/>
    <x v="108"/>
    <x v="2"/>
    <x v="105"/>
    <x v="0"/>
    <s v="Tamil Nadu"/>
    <x v="1"/>
    <s v="Interest"/>
    <n v="0"/>
    <n v="0"/>
    <n v="0"/>
    <n v="0"/>
    <n v="2264.54"/>
    <x v="259"/>
    <n v="19"/>
    <s v="Male"/>
    <n v="746515"/>
    <x v="1"/>
    <x v="0"/>
    <s v="S. Kumar"/>
  </r>
  <r>
    <s v="T100352"/>
    <x v="76"/>
    <x v="7"/>
    <x v="197"/>
    <x v="3"/>
    <s v="Telangana"/>
    <x v="2"/>
    <s v="EMI"/>
    <n v="0"/>
    <n v="0"/>
    <n v="0"/>
    <n v="18955"/>
    <n v="0"/>
    <x v="68"/>
    <n v="50"/>
    <s v="Male"/>
    <n v="1680491"/>
    <x v="1"/>
    <x v="0"/>
    <s v="P. Singh"/>
  </r>
  <r>
    <s v="T100353"/>
    <x v="73"/>
    <x v="6"/>
    <x v="2"/>
    <x v="5"/>
    <s v="Delhi"/>
    <x v="3"/>
    <s v="Interest"/>
    <n v="0"/>
    <n v="0"/>
    <n v="0"/>
    <n v="0"/>
    <n v="5699.99"/>
    <x v="260"/>
    <n v="30"/>
    <s v="Male"/>
    <n v="2850496"/>
    <x v="0"/>
    <x v="0"/>
    <s v="A. Sharma"/>
  </r>
  <r>
    <s v="T100354"/>
    <x v="113"/>
    <x v="1"/>
    <x v="55"/>
    <x v="2"/>
    <s v="Maharashtra"/>
    <x v="0"/>
    <s v="EMI"/>
    <n v="0"/>
    <n v="0"/>
    <n v="0"/>
    <n v="2493"/>
    <n v="0"/>
    <x v="261"/>
    <n v="35"/>
    <s v="Female"/>
    <n v="2725983"/>
    <x v="1"/>
    <x v="1"/>
    <s v="N. Rao"/>
  </r>
  <r>
    <s v="T100355"/>
    <x v="80"/>
    <x v="0"/>
    <x v="198"/>
    <x v="5"/>
    <s v="Delhi"/>
    <x v="0"/>
    <s v="Loan"/>
    <n v="0"/>
    <n v="0"/>
    <n v="1140189"/>
    <n v="0"/>
    <n v="0"/>
    <x v="262"/>
    <n v="26"/>
    <s v="Female"/>
    <n v="2041108"/>
    <x v="0"/>
    <x v="1"/>
    <s v="N. Rao"/>
  </r>
  <r>
    <s v="T100356"/>
    <x v="217"/>
    <x v="0"/>
    <x v="85"/>
    <x v="5"/>
    <s v="Tamil Nadu"/>
    <x v="3"/>
    <s v="Deposit"/>
    <n v="8353"/>
    <n v="0"/>
    <n v="0"/>
    <n v="0"/>
    <n v="0"/>
    <x v="263"/>
    <n v="57"/>
    <s v="Female"/>
    <n v="1901709"/>
    <x v="1"/>
    <x v="0"/>
    <s v="R. Patel"/>
  </r>
  <r>
    <s v="T100357"/>
    <x v="218"/>
    <x v="11"/>
    <x v="199"/>
    <x v="2"/>
    <s v="Telangana"/>
    <x v="3"/>
    <s v="EMI"/>
    <n v="0"/>
    <n v="0"/>
    <n v="0"/>
    <n v="47430"/>
    <n v="0"/>
    <x v="233"/>
    <n v="43"/>
    <s v="Female"/>
    <n v="2643806"/>
    <x v="1"/>
    <x v="4"/>
    <s v="A. Sharma"/>
  </r>
  <r>
    <s v="T100358"/>
    <x v="219"/>
    <x v="7"/>
    <x v="200"/>
    <x v="0"/>
    <s v="Maharashtra"/>
    <x v="0"/>
    <s v="Withdrawal"/>
    <n v="0"/>
    <n v="25567"/>
    <n v="0"/>
    <n v="0"/>
    <n v="0"/>
    <x v="264"/>
    <n v="36"/>
    <s v="Male"/>
    <n v="663207"/>
    <x v="0"/>
    <x v="0"/>
    <s v="R. Patel"/>
  </r>
  <r>
    <s v="T100359"/>
    <x v="119"/>
    <x v="1"/>
    <x v="75"/>
    <x v="2"/>
    <s v="Telangana"/>
    <x v="3"/>
    <s v="Deposit"/>
    <n v="165345"/>
    <n v="0"/>
    <n v="0"/>
    <n v="0"/>
    <n v="0"/>
    <x v="166"/>
    <n v="25"/>
    <s v="Male"/>
    <n v="2578115"/>
    <x v="1"/>
    <x v="0"/>
    <s v="P. Singh"/>
  </r>
  <r>
    <s v="T100360"/>
    <x v="31"/>
    <x v="4"/>
    <x v="73"/>
    <x v="5"/>
    <s v="Delhi"/>
    <x v="0"/>
    <s v="Loan"/>
    <n v="0"/>
    <n v="0"/>
    <n v="1001668"/>
    <n v="0"/>
    <n v="0"/>
    <x v="265"/>
    <n v="34"/>
    <s v="Female"/>
    <n v="2464720"/>
    <x v="0"/>
    <x v="2"/>
    <s v="P. Singh"/>
  </r>
  <r>
    <s v="T100361"/>
    <x v="220"/>
    <x v="3"/>
    <x v="143"/>
    <x v="1"/>
    <s v="Telangana"/>
    <x v="0"/>
    <s v="Deposit"/>
    <n v="19079"/>
    <n v="0"/>
    <n v="0"/>
    <n v="0"/>
    <n v="0"/>
    <x v="266"/>
    <n v="23"/>
    <s v="Male"/>
    <n v="1023016"/>
    <x v="0"/>
    <x v="0"/>
    <s v="A. Sharma"/>
  </r>
  <r>
    <s v="T100362"/>
    <x v="221"/>
    <x v="1"/>
    <x v="46"/>
    <x v="4"/>
    <s v="Tamil Nadu"/>
    <x v="1"/>
    <s v="Loan"/>
    <n v="0"/>
    <n v="0"/>
    <n v="1512437"/>
    <n v="0"/>
    <n v="0"/>
    <x v="267"/>
    <n v="23"/>
    <s v="Male"/>
    <n v="1348151"/>
    <x v="0"/>
    <x v="2"/>
    <s v="P. Singh"/>
  </r>
  <r>
    <s v="T100363"/>
    <x v="37"/>
    <x v="3"/>
    <x v="162"/>
    <x v="2"/>
    <s v="Telangana"/>
    <x v="1"/>
    <s v="EMI"/>
    <n v="0"/>
    <n v="0"/>
    <n v="0"/>
    <n v="18480"/>
    <n v="0"/>
    <x v="111"/>
    <n v="62"/>
    <s v="Male"/>
    <n v="2164075"/>
    <x v="1"/>
    <x v="1"/>
    <s v="N. Rao"/>
  </r>
  <r>
    <s v="T100364"/>
    <x v="222"/>
    <x v="9"/>
    <x v="201"/>
    <x v="2"/>
    <s v="Karnataka"/>
    <x v="3"/>
    <s v="Loan"/>
    <n v="0"/>
    <n v="0"/>
    <n v="301211"/>
    <n v="0"/>
    <n v="0"/>
    <x v="268"/>
    <n v="56"/>
    <s v="Male"/>
    <n v="2798250"/>
    <x v="0"/>
    <x v="2"/>
    <s v="A. Sharma"/>
  </r>
  <r>
    <s v="T100365"/>
    <x v="89"/>
    <x v="10"/>
    <x v="202"/>
    <x v="1"/>
    <s v="Tamil Nadu"/>
    <x v="0"/>
    <s v="Withdrawal"/>
    <n v="0"/>
    <n v="38687"/>
    <n v="0"/>
    <n v="0"/>
    <n v="0"/>
    <x v="123"/>
    <n v="37"/>
    <s v="Male"/>
    <n v="2762218"/>
    <x v="0"/>
    <x v="0"/>
    <s v="S. Kumar"/>
  </r>
  <r>
    <s v="T100366"/>
    <x v="25"/>
    <x v="4"/>
    <x v="59"/>
    <x v="2"/>
    <s v="Maharashtra"/>
    <x v="0"/>
    <s v="Withdrawal"/>
    <n v="0"/>
    <n v="42504"/>
    <n v="0"/>
    <n v="0"/>
    <n v="0"/>
    <x v="219"/>
    <n v="44"/>
    <s v="Male"/>
    <n v="2784340"/>
    <x v="1"/>
    <x v="0"/>
    <s v="S. Kumar"/>
  </r>
  <r>
    <s v="T100367"/>
    <x v="146"/>
    <x v="7"/>
    <x v="175"/>
    <x v="3"/>
    <s v="Delhi"/>
    <x v="0"/>
    <s v="Interest"/>
    <n v="0"/>
    <n v="0"/>
    <n v="0"/>
    <n v="0"/>
    <n v="7574.2"/>
    <x v="269"/>
    <n v="58"/>
    <s v="Female"/>
    <n v="2058779"/>
    <x v="0"/>
    <x v="0"/>
    <s v="A. Sharma"/>
  </r>
  <r>
    <s v="T100368"/>
    <x v="223"/>
    <x v="1"/>
    <x v="112"/>
    <x v="5"/>
    <s v="Tamil Nadu"/>
    <x v="3"/>
    <s v="Loan"/>
    <n v="0"/>
    <n v="0"/>
    <n v="1725818"/>
    <n v="0"/>
    <n v="0"/>
    <x v="270"/>
    <n v="67"/>
    <s v="Female"/>
    <n v="2968557"/>
    <x v="0"/>
    <x v="2"/>
    <s v="R. Patel"/>
  </r>
  <r>
    <s v="T100369"/>
    <x v="94"/>
    <x v="7"/>
    <x v="203"/>
    <x v="3"/>
    <s v="Delhi"/>
    <x v="1"/>
    <s v="Loan"/>
    <n v="0"/>
    <n v="0"/>
    <n v="699556"/>
    <n v="0"/>
    <n v="0"/>
    <x v="271"/>
    <n v="56"/>
    <s v="Female"/>
    <n v="1033303"/>
    <x v="1"/>
    <x v="1"/>
    <s v="S. Kumar"/>
  </r>
  <r>
    <s v="T100370"/>
    <x v="161"/>
    <x v="9"/>
    <x v="204"/>
    <x v="5"/>
    <s v="Delhi"/>
    <x v="3"/>
    <s v="Withdrawal"/>
    <n v="0"/>
    <n v="60043"/>
    <n v="0"/>
    <n v="0"/>
    <n v="0"/>
    <x v="125"/>
    <n v="50"/>
    <s v="Female"/>
    <n v="2228830"/>
    <x v="0"/>
    <x v="0"/>
    <s v="R. Patel"/>
  </r>
  <r>
    <s v="T100371"/>
    <x v="88"/>
    <x v="7"/>
    <x v="104"/>
    <x v="5"/>
    <s v="Maharashtra"/>
    <x v="2"/>
    <s v="Withdrawal"/>
    <n v="0"/>
    <n v="79080"/>
    <n v="0"/>
    <n v="0"/>
    <n v="0"/>
    <x v="272"/>
    <n v="30"/>
    <s v="Male"/>
    <n v="1701970"/>
    <x v="1"/>
    <x v="0"/>
    <s v="A. Sharma"/>
  </r>
  <r>
    <s v="T100372"/>
    <x v="17"/>
    <x v="4"/>
    <x v="205"/>
    <x v="3"/>
    <s v="Tamil Nadu"/>
    <x v="2"/>
    <s v="Loan"/>
    <n v="0"/>
    <n v="0"/>
    <n v="286760"/>
    <n v="0"/>
    <n v="0"/>
    <x v="49"/>
    <n v="22"/>
    <s v="Male"/>
    <n v="1223177"/>
    <x v="0"/>
    <x v="1"/>
    <s v="A. Sharma"/>
  </r>
  <r>
    <s v="T100373"/>
    <x v="224"/>
    <x v="3"/>
    <x v="206"/>
    <x v="5"/>
    <s v="Karnataka"/>
    <x v="2"/>
    <s v="Interest"/>
    <n v="0"/>
    <n v="0"/>
    <n v="0"/>
    <n v="0"/>
    <n v="8910.0300000000007"/>
    <x v="273"/>
    <n v="50"/>
    <s v="Male"/>
    <n v="2323252"/>
    <x v="1"/>
    <x v="0"/>
    <s v="A. Sharma"/>
  </r>
  <r>
    <s v="T100374"/>
    <x v="225"/>
    <x v="11"/>
    <x v="207"/>
    <x v="5"/>
    <s v="Tamil Nadu"/>
    <x v="0"/>
    <s v="EMI"/>
    <n v="0"/>
    <n v="0"/>
    <n v="0"/>
    <n v="2914"/>
    <n v="0"/>
    <x v="274"/>
    <n v="65"/>
    <s v="Male"/>
    <n v="2494868"/>
    <x v="1"/>
    <x v="4"/>
    <s v="A. Sharma"/>
  </r>
  <r>
    <s v="T100375"/>
    <x v="226"/>
    <x v="8"/>
    <x v="208"/>
    <x v="2"/>
    <s v="Maharashtra"/>
    <x v="3"/>
    <s v="Interest"/>
    <n v="0"/>
    <n v="0"/>
    <n v="0"/>
    <n v="0"/>
    <n v="8149.21"/>
    <x v="275"/>
    <n v="34"/>
    <s v="Male"/>
    <n v="1979231"/>
    <x v="0"/>
    <x v="0"/>
    <s v="R. Patel"/>
  </r>
  <r>
    <s v="T100376"/>
    <x v="227"/>
    <x v="10"/>
    <x v="209"/>
    <x v="0"/>
    <s v="Telangana"/>
    <x v="0"/>
    <s v="Interest"/>
    <n v="0"/>
    <n v="0"/>
    <n v="0"/>
    <n v="0"/>
    <n v="383.92"/>
    <x v="237"/>
    <n v="50"/>
    <s v="Male"/>
    <n v="1559906"/>
    <x v="0"/>
    <x v="0"/>
    <s v="R. Patel"/>
  </r>
  <r>
    <s v="T100377"/>
    <x v="157"/>
    <x v="7"/>
    <x v="39"/>
    <x v="5"/>
    <s v="Maharashtra"/>
    <x v="1"/>
    <s v="Interest"/>
    <n v="0"/>
    <n v="0"/>
    <n v="0"/>
    <n v="0"/>
    <n v="76.63"/>
    <x v="276"/>
    <n v="50"/>
    <s v="Male"/>
    <n v="811598"/>
    <x v="1"/>
    <x v="0"/>
    <s v="N. Rao"/>
  </r>
  <r>
    <s v="T100378"/>
    <x v="43"/>
    <x v="8"/>
    <x v="123"/>
    <x v="0"/>
    <s v="Karnataka"/>
    <x v="0"/>
    <s v="Deposit"/>
    <n v="176680"/>
    <n v="0"/>
    <n v="0"/>
    <n v="0"/>
    <n v="0"/>
    <x v="277"/>
    <n v="58"/>
    <s v="Male"/>
    <n v="1785391"/>
    <x v="1"/>
    <x v="0"/>
    <s v="N. Rao"/>
  </r>
  <r>
    <s v="T100379"/>
    <x v="225"/>
    <x v="11"/>
    <x v="12"/>
    <x v="5"/>
    <s v="Karnataka"/>
    <x v="1"/>
    <s v="Loan"/>
    <n v="0"/>
    <n v="0"/>
    <n v="1474550"/>
    <n v="0"/>
    <n v="0"/>
    <x v="278"/>
    <n v="68"/>
    <s v="Male"/>
    <n v="1060874"/>
    <x v="1"/>
    <x v="2"/>
    <s v="A. Sharma"/>
  </r>
  <r>
    <s v="T100380"/>
    <x v="144"/>
    <x v="0"/>
    <x v="156"/>
    <x v="5"/>
    <s v="Delhi"/>
    <x v="0"/>
    <s v="Deposit"/>
    <n v="62835"/>
    <n v="0"/>
    <n v="0"/>
    <n v="0"/>
    <n v="0"/>
    <x v="279"/>
    <n v="64"/>
    <s v="Female"/>
    <n v="1601050"/>
    <x v="1"/>
    <x v="0"/>
    <s v="R. Patel"/>
  </r>
  <r>
    <s v="T100381"/>
    <x v="77"/>
    <x v="1"/>
    <x v="183"/>
    <x v="1"/>
    <s v="Telangana"/>
    <x v="2"/>
    <s v="Deposit"/>
    <n v="28807"/>
    <n v="0"/>
    <n v="0"/>
    <n v="0"/>
    <n v="0"/>
    <x v="280"/>
    <n v="43"/>
    <s v="Female"/>
    <n v="2825792"/>
    <x v="0"/>
    <x v="0"/>
    <s v="A. Sharma"/>
  </r>
  <r>
    <s v="T100382"/>
    <x v="215"/>
    <x v="4"/>
    <x v="210"/>
    <x v="3"/>
    <s v="Karnataka"/>
    <x v="2"/>
    <s v="Deposit"/>
    <n v="105822"/>
    <n v="0"/>
    <n v="0"/>
    <n v="0"/>
    <n v="0"/>
    <x v="281"/>
    <n v="56"/>
    <s v="Female"/>
    <n v="2233468"/>
    <x v="1"/>
    <x v="0"/>
    <s v="N. Rao"/>
  </r>
  <r>
    <s v="T100383"/>
    <x v="52"/>
    <x v="11"/>
    <x v="19"/>
    <x v="4"/>
    <s v="Telangana"/>
    <x v="3"/>
    <s v="Loan"/>
    <n v="0"/>
    <n v="0"/>
    <n v="539775"/>
    <n v="0"/>
    <n v="0"/>
    <x v="282"/>
    <n v="57"/>
    <s v="Male"/>
    <n v="2071303"/>
    <x v="1"/>
    <x v="1"/>
    <s v="S. Kumar"/>
  </r>
  <r>
    <s v="T100384"/>
    <x v="167"/>
    <x v="2"/>
    <x v="211"/>
    <x v="4"/>
    <s v="Telangana"/>
    <x v="1"/>
    <s v="Interest"/>
    <n v="0"/>
    <n v="0"/>
    <n v="0"/>
    <n v="0"/>
    <n v="6430.87"/>
    <x v="11"/>
    <n v="44"/>
    <s v="Female"/>
    <n v="430200"/>
    <x v="0"/>
    <x v="0"/>
    <s v="N. Rao"/>
  </r>
  <r>
    <s v="T100385"/>
    <x v="170"/>
    <x v="9"/>
    <x v="53"/>
    <x v="4"/>
    <s v="Karnataka"/>
    <x v="3"/>
    <s v="Deposit"/>
    <n v="6879"/>
    <n v="0"/>
    <n v="0"/>
    <n v="0"/>
    <n v="0"/>
    <x v="283"/>
    <n v="62"/>
    <s v="Female"/>
    <n v="406361"/>
    <x v="1"/>
    <x v="0"/>
    <s v="S. Kumar"/>
  </r>
  <r>
    <s v="T100386"/>
    <x v="143"/>
    <x v="5"/>
    <x v="212"/>
    <x v="5"/>
    <s v="Telangana"/>
    <x v="0"/>
    <s v="EMI"/>
    <n v="0"/>
    <n v="0"/>
    <n v="0"/>
    <n v="43294"/>
    <n v="0"/>
    <x v="6"/>
    <n v="18"/>
    <s v="Male"/>
    <n v="1287249"/>
    <x v="1"/>
    <x v="4"/>
    <s v="R. Patel"/>
  </r>
  <r>
    <s v="T100387"/>
    <x v="228"/>
    <x v="2"/>
    <x v="200"/>
    <x v="2"/>
    <s v="Telangana"/>
    <x v="1"/>
    <s v="EMI"/>
    <n v="0"/>
    <n v="0"/>
    <n v="0"/>
    <n v="38187"/>
    <n v="0"/>
    <x v="176"/>
    <n v="55"/>
    <s v="Male"/>
    <n v="1288279"/>
    <x v="0"/>
    <x v="4"/>
    <s v="P. Singh"/>
  </r>
  <r>
    <s v="T100388"/>
    <x v="229"/>
    <x v="1"/>
    <x v="33"/>
    <x v="4"/>
    <s v="Tamil Nadu"/>
    <x v="2"/>
    <s v="Withdrawal"/>
    <n v="0"/>
    <n v="87010"/>
    <n v="0"/>
    <n v="0"/>
    <n v="0"/>
    <x v="19"/>
    <n v="30"/>
    <s v="Male"/>
    <n v="1413671"/>
    <x v="1"/>
    <x v="0"/>
    <s v="P. Singh"/>
  </r>
  <r>
    <s v="T100389"/>
    <x v="230"/>
    <x v="8"/>
    <x v="96"/>
    <x v="0"/>
    <s v="Karnataka"/>
    <x v="0"/>
    <s v="EMI"/>
    <n v="0"/>
    <n v="0"/>
    <n v="0"/>
    <n v="45291"/>
    <n v="0"/>
    <x v="281"/>
    <n v="50"/>
    <s v="Female"/>
    <n v="2298203"/>
    <x v="0"/>
    <x v="1"/>
    <s v="R. Patel"/>
  </r>
  <r>
    <s v="T100390"/>
    <x v="18"/>
    <x v="9"/>
    <x v="135"/>
    <x v="5"/>
    <s v="Telangana"/>
    <x v="2"/>
    <s v="Loan"/>
    <n v="0"/>
    <n v="0"/>
    <n v="56126"/>
    <n v="0"/>
    <n v="0"/>
    <x v="284"/>
    <n v="32"/>
    <s v="Male"/>
    <n v="1671031"/>
    <x v="1"/>
    <x v="1"/>
    <s v="P. Singh"/>
  </r>
  <r>
    <s v="T100391"/>
    <x v="224"/>
    <x v="3"/>
    <x v="102"/>
    <x v="2"/>
    <s v="Maharashtra"/>
    <x v="2"/>
    <s v="Deposit"/>
    <n v="1540"/>
    <n v="0"/>
    <n v="0"/>
    <n v="0"/>
    <n v="0"/>
    <x v="285"/>
    <n v="26"/>
    <s v="Female"/>
    <n v="466988"/>
    <x v="0"/>
    <x v="0"/>
    <s v="S. Kumar"/>
  </r>
  <r>
    <s v="T100392"/>
    <x v="57"/>
    <x v="2"/>
    <x v="137"/>
    <x v="2"/>
    <s v="Delhi"/>
    <x v="3"/>
    <s v="Interest"/>
    <n v="0"/>
    <n v="0"/>
    <n v="0"/>
    <n v="0"/>
    <n v="899.43"/>
    <x v="173"/>
    <n v="26"/>
    <s v="Female"/>
    <n v="925155"/>
    <x v="0"/>
    <x v="0"/>
    <s v="N. Rao"/>
  </r>
  <r>
    <s v="T100393"/>
    <x v="231"/>
    <x v="6"/>
    <x v="166"/>
    <x v="3"/>
    <s v="Telangana"/>
    <x v="0"/>
    <s v="Interest"/>
    <n v="0"/>
    <n v="0"/>
    <n v="0"/>
    <n v="0"/>
    <n v="3910.59"/>
    <x v="219"/>
    <n v="60"/>
    <s v="Female"/>
    <n v="2734239"/>
    <x v="1"/>
    <x v="0"/>
    <s v="S. Kumar"/>
  </r>
  <r>
    <s v="T100394"/>
    <x v="98"/>
    <x v="1"/>
    <x v="196"/>
    <x v="4"/>
    <s v="Delhi"/>
    <x v="0"/>
    <s v="Interest"/>
    <n v="0"/>
    <n v="0"/>
    <n v="0"/>
    <n v="0"/>
    <n v="6603.32"/>
    <x v="103"/>
    <n v="57"/>
    <s v="Female"/>
    <n v="1411649"/>
    <x v="0"/>
    <x v="0"/>
    <s v="P. Singh"/>
  </r>
  <r>
    <s v="T100395"/>
    <x v="232"/>
    <x v="6"/>
    <x v="213"/>
    <x v="5"/>
    <s v="Tamil Nadu"/>
    <x v="3"/>
    <s v="EMI"/>
    <n v="0"/>
    <n v="0"/>
    <n v="0"/>
    <n v="45539"/>
    <n v="0"/>
    <x v="286"/>
    <n v="63"/>
    <s v="Female"/>
    <n v="2972647"/>
    <x v="0"/>
    <x v="3"/>
    <s v="S. Kumar"/>
  </r>
  <r>
    <s v="T100396"/>
    <x v="233"/>
    <x v="3"/>
    <x v="214"/>
    <x v="5"/>
    <s v="Telangana"/>
    <x v="3"/>
    <s v="Interest"/>
    <n v="0"/>
    <n v="0"/>
    <n v="0"/>
    <n v="0"/>
    <n v="4202.72"/>
    <x v="287"/>
    <n v="47"/>
    <s v="Female"/>
    <n v="2192944"/>
    <x v="1"/>
    <x v="0"/>
    <s v="P. Singh"/>
  </r>
  <r>
    <s v="T100397"/>
    <x v="146"/>
    <x v="7"/>
    <x v="100"/>
    <x v="4"/>
    <s v="Tamil Nadu"/>
    <x v="1"/>
    <s v="Withdrawal"/>
    <n v="0"/>
    <n v="68263"/>
    <n v="0"/>
    <n v="0"/>
    <n v="0"/>
    <x v="69"/>
    <n v="39"/>
    <s v="Female"/>
    <n v="1736289"/>
    <x v="0"/>
    <x v="0"/>
    <s v="A. Sharma"/>
  </r>
  <r>
    <s v="T100398"/>
    <x v="234"/>
    <x v="2"/>
    <x v="158"/>
    <x v="2"/>
    <s v="Delhi"/>
    <x v="2"/>
    <s v="Withdrawal"/>
    <n v="0"/>
    <n v="66375"/>
    <n v="0"/>
    <n v="0"/>
    <n v="0"/>
    <x v="288"/>
    <n v="54"/>
    <s v="Male"/>
    <n v="2204612"/>
    <x v="1"/>
    <x v="0"/>
    <s v="N. Rao"/>
  </r>
  <r>
    <s v="T100399"/>
    <x v="235"/>
    <x v="11"/>
    <x v="5"/>
    <x v="5"/>
    <s v="Karnataka"/>
    <x v="1"/>
    <s v="Loan"/>
    <n v="0"/>
    <n v="0"/>
    <n v="342078"/>
    <n v="0"/>
    <n v="0"/>
    <x v="214"/>
    <n v="25"/>
    <s v="Female"/>
    <n v="1884835"/>
    <x v="1"/>
    <x v="2"/>
    <s v="P. Singh"/>
  </r>
  <r>
    <s v="T100400"/>
    <x v="236"/>
    <x v="2"/>
    <x v="215"/>
    <x v="2"/>
    <s v="Telangana"/>
    <x v="0"/>
    <s v="Deposit"/>
    <n v="182309"/>
    <n v="0"/>
    <n v="0"/>
    <n v="0"/>
    <n v="0"/>
    <x v="265"/>
    <n v="18"/>
    <s v="Male"/>
    <n v="971779"/>
    <x v="1"/>
    <x v="0"/>
    <s v="N. Rao"/>
  </r>
  <r>
    <s v="T100401"/>
    <x v="90"/>
    <x v="0"/>
    <x v="216"/>
    <x v="5"/>
    <s v="Karnataka"/>
    <x v="2"/>
    <s v="Deposit"/>
    <n v="24543"/>
    <n v="0"/>
    <n v="0"/>
    <n v="0"/>
    <n v="0"/>
    <x v="256"/>
    <n v="37"/>
    <s v="Female"/>
    <n v="230496"/>
    <x v="0"/>
    <x v="0"/>
    <s v="R. Patel"/>
  </r>
  <r>
    <s v="T100402"/>
    <x v="237"/>
    <x v="0"/>
    <x v="217"/>
    <x v="1"/>
    <s v="Maharashtra"/>
    <x v="2"/>
    <s v="Withdrawal"/>
    <n v="0"/>
    <n v="47469"/>
    <n v="0"/>
    <n v="0"/>
    <n v="0"/>
    <x v="69"/>
    <n v="37"/>
    <s v="Male"/>
    <n v="2063144"/>
    <x v="0"/>
    <x v="0"/>
    <s v="R. Patel"/>
  </r>
  <r>
    <s v="T100403"/>
    <x v="205"/>
    <x v="3"/>
    <x v="91"/>
    <x v="4"/>
    <s v="Delhi"/>
    <x v="0"/>
    <s v="Interest"/>
    <n v="0"/>
    <n v="0"/>
    <n v="0"/>
    <n v="0"/>
    <n v="3058.21"/>
    <x v="289"/>
    <n v="64"/>
    <s v="Male"/>
    <n v="1269385"/>
    <x v="0"/>
    <x v="0"/>
    <s v="A. Sharma"/>
  </r>
  <r>
    <s v="T100404"/>
    <x v="238"/>
    <x v="5"/>
    <x v="177"/>
    <x v="2"/>
    <s v="Tamil Nadu"/>
    <x v="3"/>
    <s v="EMI"/>
    <n v="0"/>
    <n v="0"/>
    <n v="0"/>
    <n v="15213"/>
    <n v="0"/>
    <x v="290"/>
    <n v="43"/>
    <s v="Female"/>
    <n v="1921627"/>
    <x v="1"/>
    <x v="1"/>
    <s v="N. Rao"/>
  </r>
  <r>
    <s v="T100405"/>
    <x v="209"/>
    <x v="1"/>
    <x v="99"/>
    <x v="2"/>
    <s v="Karnataka"/>
    <x v="0"/>
    <s v="Interest"/>
    <n v="0"/>
    <n v="0"/>
    <n v="0"/>
    <n v="0"/>
    <n v="1243.06"/>
    <x v="291"/>
    <n v="35"/>
    <s v="Female"/>
    <n v="1638376"/>
    <x v="0"/>
    <x v="0"/>
    <s v="R. Patel"/>
  </r>
  <r>
    <s v="T100406"/>
    <x v="188"/>
    <x v="5"/>
    <x v="91"/>
    <x v="3"/>
    <s v="Delhi"/>
    <x v="1"/>
    <s v="Interest"/>
    <n v="0"/>
    <n v="0"/>
    <n v="0"/>
    <n v="0"/>
    <n v="2255.9299999999998"/>
    <x v="162"/>
    <n v="54"/>
    <s v="Female"/>
    <n v="2111872"/>
    <x v="1"/>
    <x v="0"/>
    <s v="P. Singh"/>
  </r>
  <r>
    <s v="T100407"/>
    <x v="239"/>
    <x v="11"/>
    <x v="218"/>
    <x v="5"/>
    <s v="Delhi"/>
    <x v="0"/>
    <s v="Interest"/>
    <n v="0"/>
    <n v="0"/>
    <n v="0"/>
    <n v="0"/>
    <n v="388.79"/>
    <x v="292"/>
    <n v="65"/>
    <s v="Female"/>
    <n v="2477407"/>
    <x v="1"/>
    <x v="0"/>
    <s v="P. Singh"/>
  </r>
  <r>
    <s v="T100408"/>
    <x v="240"/>
    <x v="6"/>
    <x v="11"/>
    <x v="4"/>
    <s v="Telangana"/>
    <x v="1"/>
    <s v="Interest"/>
    <n v="0"/>
    <n v="0"/>
    <n v="0"/>
    <n v="0"/>
    <n v="8414.7000000000007"/>
    <x v="135"/>
    <n v="29"/>
    <s v="Female"/>
    <n v="2143908"/>
    <x v="0"/>
    <x v="0"/>
    <s v="N. Rao"/>
  </r>
  <r>
    <s v="T100410"/>
    <x v="4"/>
    <x v="1"/>
    <x v="127"/>
    <x v="2"/>
    <s v="Delhi"/>
    <x v="1"/>
    <s v="Interest"/>
    <n v="0"/>
    <n v="0"/>
    <n v="0"/>
    <n v="0"/>
    <n v="6612.21"/>
    <x v="215"/>
    <n v="58"/>
    <s v="Female"/>
    <n v="2606966"/>
    <x v="0"/>
    <x v="0"/>
    <s v="N. Rao"/>
  </r>
  <r>
    <s v="T100411"/>
    <x v="201"/>
    <x v="10"/>
    <x v="36"/>
    <x v="2"/>
    <s v="Telangana"/>
    <x v="0"/>
    <s v="EMI"/>
    <n v="0"/>
    <n v="0"/>
    <n v="0"/>
    <n v="23054"/>
    <n v="0"/>
    <x v="258"/>
    <n v="21"/>
    <s v="Female"/>
    <n v="2872755"/>
    <x v="1"/>
    <x v="4"/>
    <s v="A. Sharma"/>
  </r>
  <r>
    <s v="T100412"/>
    <x v="241"/>
    <x v="2"/>
    <x v="55"/>
    <x v="3"/>
    <s v="Karnataka"/>
    <x v="2"/>
    <s v="Deposit"/>
    <n v="123747"/>
    <n v="0"/>
    <n v="0"/>
    <n v="0"/>
    <n v="0"/>
    <x v="293"/>
    <n v="47"/>
    <s v="Female"/>
    <n v="1259126"/>
    <x v="1"/>
    <x v="0"/>
    <s v="P. Singh"/>
  </r>
  <r>
    <s v="T100413"/>
    <x v="242"/>
    <x v="9"/>
    <x v="192"/>
    <x v="3"/>
    <s v="Tamil Nadu"/>
    <x v="2"/>
    <s v="Deposit"/>
    <n v="142362"/>
    <n v="0"/>
    <n v="0"/>
    <n v="0"/>
    <n v="0"/>
    <x v="294"/>
    <n v="23"/>
    <s v="Female"/>
    <n v="1626255"/>
    <x v="0"/>
    <x v="0"/>
    <s v="N. Rao"/>
  </r>
  <r>
    <s v="T100414"/>
    <x v="67"/>
    <x v="9"/>
    <x v="219"/>
    <x v="4"/>
    <s v="Telangana"/>
    <x v="2"/>
    <s v="Loan"/>
    <n v="0"/>
    <n v="0"/>
    <n v="438106"/>
    <n v="0"/>
    <n v="0"/>
    <x v="295"/>
    <n v="46"/>
    <s v="Male"/>
    <n v="685305"/>
    <x v="1"/>
    <x v="2"/>
    <s v="P. Singh"/>
  </r>
  <r>
    <s v="T100415"/>
    <x v="145"/>
    <x v="2"/>
    <x v="86"/>
    <x v="2"/>
    <s v="Delhi"/>
    <x v="0"/>
    <s v="Withdrawal"/>
    <n v="0"/>
    <n v="36689"/>
    <n v="0"/>
    <n v="0"/>
    <n v="0"/>
    <x v="296"/>
    <n v="25"/>
    <s v="Male"/>
    <n v="2605352"/>
    <x v="0"/>
    <x v="0"/>
    <s v="P. Singh"/>
  </r>
  <r>
    <s v="T100416"/>
    <x v="243"/>
    <x v="7"/>
    <x v="144"/>
    <x v="0"/>
    <s v="Karnataka"/>
    <x v="3"/>
    <s v="Loan"/>
    <n v="0"/>
    <n v="0"/>
    <n v="1705363"/>
    <n v="0"/>
    <n v="0"/>
    <x v="289"/>
    <n v="55"/>
    <s v="Female"/>
    <n v="227824"/>
    <x v="1"/>
    <x v="2"/>
    <s v="S. Kumar"/>
  </r>
  <r>
    <s v="T100417"/>
    <x v="60"/>
    <x v="6"/>
    <x v="220"/>
    <x v="1"/>
    <s v="Tamil Nadu"/>
    <x v="0"/>
    <s v="Withdrawal"/>
    <n v="0"/>
    <n v="41445"/>
    <n v="0"/>
    <n v="0"/>
    <n v="0"/>
    <x v="211"/>
    <n v="55"/>
    <s v="Female"/>
    <n v="2051492"/>
    <x v="1"/>
    <x v="0"/>
    <s v="P. Singh"/>
  </r>
  <r>
    <s v="T100418"/>
    <x v="73"/>
    <x v="6"/>
    <x v="147"/>
    <x v="3"/>
    <s v="Telangana"/>
    <x v="0"/>
    <s v="Deposit"/>
    <n v="114055"/>
    <n v="0"/>
    <n v="0"/>
    <n v="0"/>
    <n v="0"/>
    <x v="297"/>
    <n v="48"/>
    <s v="Female"/>
    <n v="1172916"/>
    <x v="1"/>
    <x v="0"/>
    <s v="R. Patel"/>
  </r>
  <r>
    <s v="T100419"/>
    <x v="244"/>
    <x v="0"/>
    <x v="147"/>
    <x v="0"/>
    <s v="Maharashtra"/>
    <x v="0"/>
    <s v="EMI"/>
    <n v="0"/>
    <n v="0"/>
    <n v="0"/>
    <n v="5731"/>
    <n v="0"/>
    <x v="298"/>
    <n v="56"/>
    <s v="Female"/>
    <n v="2696263"/>
    <x v="0"/>
    <x v="4"/>
    <s v="S. Kumar"/>
  </r>
  <r>
    <s v="T100420"/>
    <x v="47"/>
    <x v="8"/>
    <x v="221"/>
    <x v="2"/>
    <s v="Telangana"/>
    <x v="0"/>
    <s v="Withdrawal"/>
    <n v="0"/>
    <n v="74179"/>
    <n v="0"/>
    <n v="0"/>
    <n v="0"/>
    <x v="299"/>
    <n v="70"/>
    <s v="Female"/>
    <n v="372458"/>
    <x v="1"/>
    <x v="0"/>
    <s v="R. Patel"/>
  </r>
  <r>
    <s v="T100421"/>
    <x v="89"/>
    <x v="10"/>
    <x v="68"/>
    <x v="1"/>
    <s v="Karnataka"/>
    <x v="1"/>
    <s v="Deposit"/>
    <n v="129994"/>
    <n v="0"/>
    <n v="0"/>
    <n v="0"/>
    <n v="0"/>
    <x v="300"/>
    <n v="25"/>
    <s v="Female"/>
    <n v="2913332"/>
    <x v="1"/>
    <x v="0"/>
    <s v="S. Kumar"/>
  </r>
  <r>
    <s v="T100422"/>
    <x v="245"/>
    <x v="0"/>
    <x v="22"/>
    <x v="1"/>
    <s v="Maharashtra"/>
    <x v="3"/>
    <s v="Withdrawal"/>
    <n v="0"/>
    <n v="72748"/>
    <n v="0"/>
    <n v="0"/>
    <n v="0"/>
    <x v="144"/>
    <n v="68"/>
    <s v="Male"/>
    <n v="2303532"/>
    <x v="1"/>
    <x v="0"/>
    <s v="N. Rao"/>
  </r>
  <r>
    <s v="T100423"/>
    <x v="185"/>
    <x v="11"/>
    <x v="94"/>
    <x v="4"/>
    <s v="Telangana"/>
    <x v="2"/>
    <s v="EMI"/>
    <n v="0"/>
    <n v="0"/>
    <n v="0"/>
    <n v="4106"/>
    <n v="0"/>
    <x v="240"/>
    <n v="65"/>
    <s v="Male"/>
    <n v="2380355"/>
    <x v="1"/>
    <x v="3"/>
    <s v="A. Sharma"/>
  </r>
  <r>
    <s v="T100424"/>
    <x v="223"/>
    <x v="1"/>
    <x v="166"/>
    <x v="3"/>
    <s v="Tamil Nadu"/>
    <x v="0"/>
    <s v="EMI"/>
    <n v="0"/>
    <n v="0"/>
    <n v="0"/>
    <n v="23459"/>
    <n v="0"/>
    <x v="301"/>
    <n v="38"/>
    <s v="Male"/>
    <n v="201213"/>
    <x v="1"/>
    <x v="1"/>
    <s v="N. Rao"/>
  </r>
  <r>
    <s v="T100425"/>
    <x v="175"/>
    <x v="1"/>
    <x v="221"/>
    <x v="1"/>
    <s v="Maharashtra"/>
    <x v="1"/>
    <s v="EMI"/>
    <n v="0"/>
    <n v="0"/>
    <n v="0"/>
    <n v="19128"/>
    <n v="0"/>
    <x v="302"/>
    <n v="48"/>
    <s v="Female"/>
    <n v="819289"/>
    <x v="0"/>
    <x v="1"/>
    <s v="S. Kumar"/>
  </r>
  <r>
    <s v="T100426"/>
    <x v="143"/>
    <x v="5"/>
    <x v="222"/>
    <x v="3"/>
    <s v="Delhi"/>
    <x v="2"/>
    <s v="Withdrawal"/>
    <n v="0"/>
    <n v="9151"/>
    <n v="0"/>
    <n v="0"/>
    <n v="0"/>
    <x v="303"/>
    <n v="30"/>
    <s v="Female"/>
    <n v="764916"/>
    <x v="0"/>
    <x v="0"/>
    <s v="P. Singh"/>
  </r>
  <r>
    <s v="T100427"/>
    <x v="246"/>
    <x v="10"/>
    <x v="128"/>
    <x v="0"/>
    <s v="Karnataka"/>
    <x v="3"/>
    <s v="Loan"/>
    <n v="0"/>
    <n v="0"/>
    <n v="1981103"/>
    <n v="0"/>
    <n v="0"/>
    <x v="304"/>
    <n v="63"/>
    <s v="Male"/>
    <n v="1477139"/>
    <x v="0"/>
    <x v="2"/>
    <s v="S. Kumar"/>
  </r>
  <r>
    <s v="T100428"/>
    <x v="144"/>
    <x v="0"/>
    <x v="223"/>
    <x v="4"/>
    <s v="Delhi"/>
    <x v="0"/>
    <s v="Interest"/>
    <n v="0"/>
    <n v="0"/>
    <n v="0"/>
    <n v="0"/>
    <n v="9708.66"/>
    <x v="120"/>
    <n v="58"/>
    <s v="Female"/>
    <n v="2670633"/>
    <x v="1"/>
    <x v="0"/>
    <s v="N. Rao"/>
  </r>
  <r>
    <s v="T100429"/>
    <x v="247"/>
    <x v="4"/>
    <x v="224"/>
    <x v="5"/>
    <s v="Telangana"/>
    <x v="1"/>
    <s v="EMI"/>
    <n v="0"/>
    <n v="0"/>
    <n v="0"/>
    <n v="20883"/>
    <n v="0"/>
    <x v="95"/>
    <n v="65"/>
    <s v="Male"/>
    <n v="2995080"/>
    <x v="0"/>
    <x v="4"/>
    <s v="R. Patel"/>
  </r>
  <r>
    <s v="T100430"/>
    <x v="197"/>
    <x v="7"/>
    <x v="225"/>
    <x v="1"/>
    <s v="Telangana"/>
    <x v="0"/>
    <s v="Interest"/>
    <n v="0"/>
    <n v="0"/>
    <n v="0"/>
    <n v="0"/>
    <n v="1869.11"/>
    <x v="305"/>
    <n v="51"/>
    <s v="Male"/>
    <n v="2403796"/>
    <x v="1"/>
    <x v="0"/>
    <s v="N. Rao"/>
  </r>
  <r>
    <s v="T100431"/>
    <x v="248"/>
    <x v="8"/>
    <x v="101"/>
    <x v="5"/>
    <s v="Delhi"/>
    <x v="1"/>
    <s v="EMI"/>
    <n v="0"/>
    <n v="0"/>
    <n v="0"/>
    <n v="12073"/>
    <n v="0"/>
    <x v="306"/>
    <n v="70"/>
    <s v="Female"/>
    <n v="1382150"/>
    <x v="1"/>
    <x v="3"/>
    <s v="P. Singh"/>
  </r>
  <r>
    <s v="T100432"/>
    <x v="249"/>
    <x v="7"/>
    <x v="78"/>
    <x v="2"/>
    <s v="Delhi"/>
    <x v="2"/>
    <s v="Withdrawal"/>
    <n v="0"/>
    <n v="77261"/>
    <n v="0"/>
    <n v="0"/>
    <n v="0"/>
    <x v="307"/>
    <n v="20"/>
    <s v="Male"/>
    <n v="1312105"/>
    <x v="1"/>
    <x v="0"/>
    <s v="N. Rao"/>
  </r>
  <r>
    <s v="T100434"/>
    <x v="92"/>
    <x v="5"/>
    <x v="194"/>
    <x v="2"/>
    <s v="Tamil Nadu"/>
    <x v="0"/>
    <s v="Deposit"/>
    <n v="181643"/>
    <n v="0"/>
    <n v="0"/>
    <n v="0"/>
    <n v="0"/>
    <x v="61"/>
    <n v="52"/>
    <s v="Male"/>
    <n v="2488567"/>
    <x v="1"/>
    <x v="0"/>
    <s v="P. Singh"/>
  </r>
  <r>
    <s v="T100435"/>
    <x v="111"/>
    <x v="0"/>
    <x v="160"/>
    <x v="0"/>
    <s v="Delhi"/>
    <x v="3"/>
    <s v="Loan"/>
    <n v="0"/>
    <n v="0"/>
    <n v="1065873"/>
    <n v="0"/>
    <n v="0"/>
    <x v="308"/>
    <n v="41"/>
    <s v="Female"/>
    <n v="1539279"/>
    <x v="1"/>
    <x v="2"/>
    <s v="S. Kumar"/>
  </r>
  <r>
    <s v="T100436"/>
    <x v="245"/>
    <x v="0"/>
    <x v="184"/>
    <x v="1"/>
    <s v="Karnataka"/>
    <x v="3"/>
    <s v="EMI"/>
    <n v="0"/>
    <n v="0"/>
    <n v="0"/>
    <n v="9736"/>
    <n v="0"/>
    <x v="309"/>
    <n v="32"/>
    <s v="Female"/>
    <n v="2441826"/>
    <x v="1"/>
    <x v="4"/>
    <s v="S. Kumar"/>
  </r>
  <r>
    <s v="T100437"/>
    <x v="250"/>
    <x v="7"/>
    <x v="226"/>
    <x v="3"/>
    <s v="Telangana"/>
    <x v="2"/>
    <s v="Withdrawal"/>
    <n v="0"/>
    <n v="45113"/>
    <n v="0"/>
    <n v="0"/>
    <n v="0"/>
    <x v="310"/>
    <n v="63"/>
    <s v="Male"/>
    <n v="862126"/>
    <x v="1"/>
    <x v="0"/>
    <s v="P. Singh"/>
  </r>
  <r>
    <s v="T100438"/>
    <x v="251"/>
    <x v="3"/>
    <x v="32"/>
    <x v="1"/>
    <s v="Tamil Nadu"/>
    <x v="2"/>
    <s v="EMI"/>
    <n v="0"/>
    <n v="0"/>
    <n v="0"/>
    <n v="23728"/>
    <n v="0"/>
    <x v="311"/>
    <n v="32"/>
    <s v="Male"/>
    <n v="1147629"/>
    <x v="0"/>
    <x v="3"/>
    <s v="S. Kumar"/>
  </r>
  <r>
    <s v="T100439"/>
    <x v="176"/>
    <x v="5"/>
    <x v="198"/>
    <x v="2"/>
    <s v="Maharashtra"/>
    <x v="1"/>
    <s v="Withdrawal"/>
    <n v="0"/>
    <n v="84671"/>
    <n v="0"/>
    <n v="0"/>
    <n v="0"/>
    <x v="159"/>
    <n v="65"/>
    <s v="Male"/>
    <n v="1521125"/>
    <x v="0"/>
    <x v="0"/>
    <s v="N. Rao"/>
  </r>
  <r>
    <s v="T100440"/>
    <x v="252"/>
    <x v="5"/>
    <x v="222"/>
    <x v="5"/>
    <s v="Telangana"/>
    <x v="0"/>
    <s v="Interest"/>
    <n v="0"/>
    <n v="0"/>
    <n v="0"/>
    <n v="0"/>
    <n v="6960.02"/>
    <x v="102"/>
    <n v="35"/>
    <s v="Female"/>
    <n v="1600600"/>
    <x v="1"/>
    <x v="0"/>
    <s v="S. Kumar"/>
  </r>
  <r>
    <s v="T100442"/>
    <x v="29"/>
    <x v="6"/>
    <x v="9"/>
    <x v="0"/>
    <s v="Tamil Nadu"/>
    <x v="0"/>
    <s v="Loan"/>
    <n v="0"/>
    <n v="0"/>
    <n v="239550"/>
    <n v="0"/>
    <n v="0"/>
    <x v="304"/>
    <n v="20"/>
    <s v="Male"/>
    <n v="1787559"/>
    <x v="1"/>
    <x v="1"/>
    <s v="R. Patel"/>
  </r>
  <r>
    <s v="T100443"/>
    <x v="8"/>
    <x v="3"/>
    <x v="44"/>
    <x v="5"/>
    <s v="Telangana"/>
    <x v="3"/>
    <s v="Loan"/>
    <n v="0"/>
    <n v="0"/>
    <n v="116354"/>
    <n v="0"/>
    <n v="0"/>
    <x v="71"/>
    <n v="52"/>
    <s v="Male"/>
    <n v="1216837"/>
    <x v="1"/>
    <x v="2"/>
    <s v="S. Kumar"/>
  </r>
  <r>
    <s v="T100444"/>
    <x v="191"/>
    <x v="9"/>
    <x v="189"/>
    <x v="1"/>
    <s v="Telangana"/>
    <x v="2"/>
    <s v="Deposit"/>
    <n v="119417"/>
    <n v="0"/>
    <n v="0"/>
    <n v="0"/>
    <n v="0"/>
    <x v="146"/>
    <n v="57"/>
    <s v="Male"/>
    <n v="1325787"/>
    <x v="0"/>
    <x v="0"/>
    <s v="N. Rao"/>
  </r>
  <r>
    <s v="T100445"/>
    <x v="176"/>
    <x v="5"/>
    <x v="227"/>
    <x v="2"/>
    <s v="Maharashtra"/>
    <x v="0"/>
    <s v="Withdrawal"/>
    <n v="0"/>
    <n v="10594"/>
    <n v="0"/>
    <n v="0"/>
    <n v="0"/>
    <x v="95"/>
    <n v="55"/>
    <s v="Female"/>
    <n v="1776042"/>
    <x v="1"/>
    <x v="0"/>
    <s v="R. Patel"/>
  </r>
  <r>
    <s v="T100446"/>
    <x v="253"/>
    <x v="8"/>
    <x v="142"/>
    <x v="3"/>
    <s v="Delhi"/>
    <x v="2"/>
    <s v="Loan"/>
    <n v="0"/>
    <n v="0"/>
    <n v="1563087"/>
    <n v="0"/>
    <n v="0"/>
    <x v="3"/>
    <n v="69"/>
    <s v="Male"/>
    <n v="2011378"/>
    <x v="0"/>
    <x v="1"/>
    <s v="A. Sharma"/>
  </r>
  <r>
    <s v="T100447"/>
    <x v="254"/>
    <x v="9"/>
    <x v="13"/>
    <x v="0"/>
    <s v="Tamil Nadu"/>
    <x v="2"/>
    <s v="Loan"/>
    <n v="0"/>
    <n v="0"/>
    <n v="0"/>
    <n v="0"/>
    <n v="0"/>
    <x v="262"/>
    <n v="39"/>
    <s v="Male"/>
    <n v="2681513"/>
    <x v="0"/>
    <x v="1"/>
    <s v="P. Singh"/>
  </r>
  <r>
    <s v="T100448"/>
    <x v="84"/>
    <x v="9"/>
    <x v="159"/>
    <x v="4"/>
    <s v="Tamil Nadu"/>
    <x v="1"/>
    <s v="Withdrawal"/>
    <n v="0"/>
    <n v="84066"/>
    <n v="0"/>
    <n v="0"/>
    <n v="0"/>
    <x v="312"/>
    <n v="62"/>
    <s v="Male"/>
    <n v="977600"/>
    <x v="0"/>
    <x v="0"/>
    <s v="R. Patel"/>
  </r>
  <r>
    <s v="T100449"/>
    <x v="125"/>
    <x v="5"/>
    <x v="121"/>
    <x v="1"/>
    <s v="Delhi"/>
    <x v="2"/>
    <s v="Loan"/>
    <n v="0"/>
    <n v="0"/>
    <n v="1112592"/>
    <n v="0"/>
    <n v="0"/>
    <x v="313"/>
    <n v="70"/>
    <s v="Female"/>
    <n v="1417069"/>
    <x v="1"/>
    <x v="1"/>
    <s v="S. Kumar"/>
  </r>
  <r>
    <s v="T100450"/>
    <x v="134"/>
    <x v="4"/>
    <x v="228"/>
    <x v="5"/>
    <s v="Telangana"/>
    <x v="0"/>
    <s v="Interest"/>
    <n v="0"/>
    <n v="0"/>
    <n v="0"/>
    <n v="0"/>
    <n v="1386.98"/>
    <x v="95"/>
    <n v="30"/>
    <s v="Female"/>
    <n v="529812"/>
    <x v="0"/>
    <x v="0"/>
    <s v="R. Patel"/>
  </r>
  <r>
    <s v="T100451"/>
    <x v="164"/>
    <x v="11"/>
    <x v="141"/>
    <x v="2"/>
    <s v="Karnataka"/>
    <x v="3"/>
    <s v="Deposit"/>
    <n v="104006"/>
    <n v="0"/>
    <n v="0"/>
    <n v="0"/>
    <n v="0"/>
    <x v="313"/>
    <n v="36"/>
    <s v="Female"/>
    <n v="1710634"/>
    <x v="1"/>
    <x v="0"/>
    <s v="R. Patel"/>
  </r>
  <r>
    <s v="T100452"/>
    <x v="232"/>
    <x v="6"/>
    <x v="30"/>
    <x v="0"/>
    <s v="Maharashtra"/>
    <x v="2"/>
    <s v="EMI"/>
    <n v="0"/>
    <n v="0"/>
    <n v="0"/>
    <n v="46325"/>
    <n v="0"/>
    <x v="314"/>
    <n v="58"/>
    <s v="Female"/>
    <n v="1820839"/>
    <x v="1"/>
    <x v="3"/>
    <s v="A. Sharma"/>
  </r>
  <r>
    <s v="T100453"/>
    <x v="255"/>
    <x v="7"/>
    <x v="93"/>
    <x v="3"/>
    <s v="Karnataka"/>
    <x v="2"/>
    <s v="Interest"/>
    <n v="0"/>
    <n v="0"/>
    <n v="0"/>
    <n v="0"/>
    <n v="9488.25"/>
    <x v="315"/>
    <n v="63"/>
    <s v="Male"/>
    <n v="1537610"/>
    <x v="1"/>
    <x v="0"/>
    <s v="S. Kumar"/>
  </r>
  <r>
    <s v="T100454"/>
    <x v="254"/>
    <x v="9"/>
    <x v="229"/>
    <x v="0"/>
    <s v="Maharashtra"/>
    <x v="1"/>
    <s v="EMI"/>
    <n v="0"/>
    <n v="0"/>
    <n v="0"/>
    <n v="10416"/>
    <n v="0"/>
    <x v="89"/>
    <n v="28"/>
    <s v="Male"/>
    <n v="776215"/>
    <x v="1"/>
    <x v="1"/>
    <s v="N. Rao"/>
  </r>
  <r>
    <s v="T100455"/>
    <x v="256"/>
    <x v="6"/>
    <x v="108"/>
    <x v="3"/>
    <s v="Tamil Nadu"/>
    <x v="1"/>
    <s v="Deposit"/>
    <n v="6720"/>
    <n v="0"/>
    <n v="0"/>
    <n v="0"/>
    <n v="0"/>
    <x v="182"/>
    <n v="43"/>
    <s v="Female"/>
    <n v="1414427"/>
    <x v="1"/>
    <x v="0"/>
    <s v="A. Sharma"/>
  </r>
  <r>
    <s v="T100456"/>
    <x v="246"/>
    <x v="10"/>
    <x v="125"/>
    <x v="4"/>
    <s v="Tamil Nadu"/>
    <x v="3"/>
    <s v="Interest"/>
    <n v="0"/>
    <n v="0"/>
    <n v="0"/>
    <n v="0"/>
    <n v="0"/>
    <x v="285"/>
    <n v="22"/>
    <s v="Female"/>
    <n v="228878"/>
    <x v="1"/>
    <x v="0"/>
    <s v="R. Patel"/>
  </r>
  <r>
    <s v="T100457"/>
    <x v="257"/>
    <x v="9"/>
    <x v="71"/>
    <x v="3"/>
    <s v="Delhi"/>
    <x v="2"/>
    <s v="Withdrawal"/>
    <n v="0"/>
    <n v="14702"/>
    <n v="0"/>
    <n v="0"/>
    <n v="0"/>
    <x v="89"/>
    <n v="40"/>
    <s v="Male"/>
    <n v="2337740"/>
    <x v="1"/>
    <x v="0"/>
    <s v="S. Kumar"/>
  </r>
  <r>
    <s v="T100458"/>
    <x v="258"/>
    <x v="2"/>
    <x v="200"/>
    <x v="5"/>
    <s v="Maharashtra"/>
    <x v="0"/>
    <s v="Interest"/>
    <n v="0"/>
    <n v="0"/>
    <n v="0"/>
    <n v="0"/>
    <n v="3810.99"/>
    <x v="316"/>
    <n v="62"/>
    <s v="Female"/>
    <n v="2229709"/>
    <x v="1"/>
    <x v="0"/>
    <s v="S. Kumar"/>
  </r>
  <r>
    <s v="T100459"/>
    <x v="259"/>
    <x v="1"/>
    <x v="8"/>
    <x v="2"/>
    <s v="Maharashtra"/>
    <x v="0"/>
    <s v="Withdrawal"/>
    <n v="0"/>
    <n v="55642"/>
    <n v="0"/>
    <n v="0"/>
    <n v="0"/>
    <x v="317"/>
    <n v="56"/>
    <s v="Male"/>
    <n v="1726416"/>
    <x v="1"/>
    <x v="0"/>
    <s v="N. Rao"/>
  </r>
  <r>
    <s v="T100460"/>
    <x v="248"/>
    <x v="8"/>
    <x v="75"/>
    <x v="3"/>
    <s v="Delhi"/>
    <x v="2"/>
    <s v="Interest"/>
    <n v="0"/>
    <n v="0"/>
    <n v="0"/>
    <n v="0"/>
    <n v="645.42999999999995"/>
    <x v="318"/>
    <n v="33"/>
    <s v="Male"/>
    <n v="2737775"/>
    <x v="1"/>
    <x v="0"/>
    <s v="N. Rao"/>
  </r>
  <r>
    <s v="T100461"/>
    <x v="220"/>
    <x v="3"/>
    <x v="13"/>
    <x v="2"/>
    <s v="Maharashtra"/>
    <x v="1"/>
    <s v="EMI"/>
    <n v="0"/>
    <n v="0"/>
    <n v="0"/>
    <n v="46868"/>
    <n v="0"/>
    <x v="319"/>
    <n v="23"/>
    <s v="Female"/>
    <n v="942325"/>
    <x v="0"/>
    <x v="3"/>
    <s v="P. Singh"/>
  </r>
  <r>
    <s v="T100462"/>
    <x v="144"/>
    <x v="0"/>
    <x v="230"/>
    <x v="5"/>
    <s v="Delhi"/>
    <x v="2"/>
    <s v="EMI"/>
    <n v="0"/>
    <n v="0"/>
    <n v="0"/>
    <n v="18310"/>
    <n v="0"/>
    <x v="191"/>
    <n v="27"/>
    <s v="Female"/>
    <n v="2307418"/>
    <x v="0"/>
    <x v="4"/>
    <s v="P. Singh"/>
  </r>
  <r>
    <s v="T100463"/>
    <x v="260"/>
    <x v="1"/>
    <x v="231"/>
    <x v="3"/>
    <s v="Telangana"/>
    <x v="2"/>
    <s v="Withdrawal"/>
    <n v="0"/>
    <n v="91197"/>
    <n v="0"/>
    <n v="0"/>
    <n v="0"/>
    <x v="320"/>
    <n v="22"/>
    <s v="Female"/>
    <n v="676165"/>
    <x v="1"/>
    <x v="0"/>
    <s v="S. Kumar"/>
  </r>
  <r>
    <s v="T100464"/>
    <x v="12"/>
    <x v="1"/>
    <x v="190"/>
    <x v="4"/>
    <s v="Karnataka"/>
    <x v="3"/>
    <s v="Interest"/>
    <n v="0"/>
    <n v="0"/>
    <n v="0"/>
    <n v="0"/>
    <n v="5409.64"/>
    <x v="321"/>
    <n v="32"/>
    <s v="Male"/>
    <n v="1350273"/>
    <x v="1"/>
    <x v="0"/>
    <s v="S. Kumar"/>
  </r>
  <r>
    <s v="T100465"/>
    <x v="226"/>
    <x v="8"/>
    <x v="78"/>
    <x v="0"/>
    <s v="Karnataka"/>
    <x v="0"/>
    <s v="Interest"/>
    <n v="0"/>
    <n v="0"/>
    <n v="0"/>
    <n v="0"/>
    <n v="6598.29"/>
    <x v="240"/>
    <n v="63"/>
    <s v="Male"/>
    <n v="906639"/>
    <x v="0"/>
    <x v="0"/>
    <s v="A. Sharma"/>
  </r>
  <r>
    <s v="T100467"/>
    <x v="135"/>
    <x v="0"/>
    <x v="3"/>
    <x v="3"/>
    <s v="Tamil Nadu"/>
    <x v="2"/>
    <s v="EMI"/>
    <n v="0"/>
    <n v="0"/>
    <n v="0"/>
    <n v="27971"/>
    <n v="0"/>
    <x v="261"/>
    <n v="33"/>
    <s v="Female"/>
    <n v="2866955"/>
    <x v="0"/>
    <x v="4"/>
    <s v="P. Singh"/>
  </r>
  <r>
    <s v="T100468"/>
    <x v="178"/>
    <x v="0"/>
    <x v="224"/>
    <x v="1"/>
    <s v="Telangana"/>
    <x v="1"/>
    <s v="Deposit"/>
    <n v="149891"/>
    <n v="0"/>
    <n v="0"/>
    <n v="0"/>
    <n v="0"/>
    <x v="322"/>
    <n v="40"/>
    <s v="Male"/>
    <n v="348446"/>
    <x v="0"/>
    <x v="0"/>
    <s v="N. Rao"/>
  </r>
  <r>
    <s v="T100469"/>
    <x v="69"/>
    <x v="4"/>
    <x v="211"/>
    <x v="2"/>
    <s v="Delhi"/>
    <x v="1"/>
    <s v="Deposit"/>
    <n v="178808"/>
    <n v="0"/>
    <n v="0"/>
    <n v="0"/>
    <n v="0"/>
    <x v="115"/>
    <n v="21"/>
    <s v="Male"/>
    <n v="866306"/>
    <x v="0"/>
    <x v="0"/>
    <s v="N. Rao"/>
  </r>
  <r>
    <s v="T100470"/>
    <x v="261"/>
    <x v="10"/>
    <x v="67"/>
    <x v="4"/>
    <s v="Karnataka"/>
    <x v="3"/>
    <s v="EMI"/>
    <n v="0"/>
    <n v="0"/>
    <n v="0"/>
    <n v="2988"/>
    <n v="0"/>
    <x v="187"/>
    <n v="36"/>
    <s v="Male"/>
    <n v="1514044"/>
    <x v="0"/>
    <x v="3"/>
    <s v="R. Patel"/>
  </r>
  <r>
    <s v="T100471"/>
    <x v="107"/>
    <x v="11"/>
    <x v="12"/>
    <x v="4"/>
    <s v="Karnataka"/>
    <x v="1"/>
    <s v="Interest"/>
    <n v="0"/>
    <n v="0"/>
    <n v="0"/>
    <n v="0"/>
    <n v="2446.7600000000002"/>
    <x v="156"/>
    <n v="30"/>
    <s v="Female"/>
    <n v="1058657"/>
    <x v="1"/>
    <x v="0"/>
    <s v="N. Rao"/>
  </r>
  <r>
    <s v="T100472"/>
    <x v="6"/>
    <x v="5"/>
    <x v="219"/>
    <x v="1"/>
    <s v="Tamil Nadu"/>
    <x v="1"/>
    <s v="Deposit"/>
    <n v="98874"/>
    <n v="0"/>
    <n v="0"/>
    <n v="0"/>
    <n v="0"/>
    <x v="221"/>
    <n v="21"/>
    <s v="Female"/>
    <n v="1891971"/>
    <x v="1"/>
    <x v="0"/>
    <s v="P. Singh"/>
  </r>
  <r>
    <s v="T100473"/>
    <x v="182"/>
    <x v="11"/>
    <x v="12"/>
    <x v="2"/>
    <s v="Telangana"/>
    <x v="2"/>
    <s v="EMI"/>
    <n v="0"/>
    <n v="0"/>
    <n v="0"/>
    <n v="39028"/>
    <n v="0"/>
    <x v="199"/>
    <n v="67"/>
    <s v="Female"/>
    <n v="2830591"/>
    <x v="1"/>
    <x v="3"/>
    <s v="A. Sharma"/>
  </r>
  <r>
    <s v="T100474"/>
    <x v="174"/>
    <x v="5"/>
    <x v="7"/>
    <x v="0"/>
    <s v="Maharashtra"/>
    <x v="2"/>
    <s v="Withdrawal"/>
    <n v="0"/>
    <n v="7480"/>
    <n v="0"/>
    <n v="0"/>
    <n v="0"/>
    <x v="252"/>
    <n v="43"/>
    <s v="Male"/>
    <n v="584934"/>
    <x v="0"/>
    <x v="0"/>
    <s v="R. Patel"/>
  </r>
  <r>
    <s v="T100475"/>
    <x v="262"/>
    <x v="11"/>
    <x v="194"/>
    <x v="5"/>
    <s v="Maharashtra"/>
    <x v="0"/>
    <s v="Deposit"/>
    <n v="97558"/>
    <n v="0"/>
    <n v="0"/>
    <n v="0"/>
    <n v="0"/>
    <x v="323"/>
    <n v="20"/>
    <s v="Male"/>
    <n v="2818119"/>
    <x v="0"/>
    <x v="0"/>
    <s v="R. Patel"/>
  </r>
  <r>
    <s v="T100476"/>
    <x v="109"/>
    <x v="8"/>
    <x v="186"/>
    <x v="3"/>
    <s v="Telangana"/>
    <x v="2"/>
    <s v="Deposit"/>
    <n v="89210"/>
    <n v="0"/>
    <n v="0"/>
    <n v="0"/>
    <n v="0"/>
    <x v="15"/>
    <n v="34"/>
    <s v="Male"/>
    <n v="1566870"/>
    <x v="1"/>
    <x v="0"/>
    <s v="N. Rao"/>
  </r>
  <r>
    <s v="T100477"/>
    <x v="130"/>
    <x v="7"/>
    <x v="232"/>
    <x v="5"/>
    <s v="Delhi"/>
    <x v="2"/>
    <s v="Loan"/>
    <n v="0"/>
    <n v="0"/>
    <n v="1129570"/>
    <n v="0"/>
    <n v="0"/>
    <x v="127"/>
    <n v="40"/>
    <s v="Female"/>
    <n v="2127845"/>
    <x v="0"/>
    <x v="2"/>
    <s v="R. Patel"/>
  </r>
  <r>
    <s v="T100478"/>
    <x v="243"/>
    <x v="7"/>
    <x v="133"/>
    <x v="0"/>
    <s v="Delhi"/>
    <x v="2"/>
    <s v="Deposit"/>
    <n v="117691"/>
    <n v="0"/>
    <n v="0"/>
    <n v="0"/>
    <n v="0"/>
    <x v="324"/>
    <n v="22"/>
    <s v="Male"/>
    <n v="1478122"/>
    <x v="1"/>
    <x v="0"/>
    <s v="S. Kumar"/>
  </r>
  <r>
    <s v="T100479"/>
    <x v="43"/>
    <x v="8"/>
    <x v="5"/>
    <x v="3"/>
    <s v="Maharashtra"/>
    <x v="2"/>
    <s v="Loan"/>
    <n v="0"/>
    <n v="0"/>
    <n v="513010"/>
    <n v="0"/>
    <n v="0"/>
    <x v="325"/>
    <n v="22"/>
    <s v="Female"/>
    <n v="1511822"/>
    <x v="1"/>
    <x v="2"/>
    <s v="S. Kumar"/>
  </r>
  <r>
    <s v="T100480"/>
    <x v="58"/>
    <x v="11"/>
    <x v="4"/>
    <x v="0"/>
    <s v="Telangana"/>
    <x v="2"/>
    <s v="Withdrawal"/>
    <n v="0"/>
    <n v="83887"/>
    <n v="0"/>
    <n v="0"/>
    <n v="0"/>
    <x v="232"/>
    <n v="64"/>
    <s v="Female"/>
    <n v="1367091"/>
    <x v="1"/>
    <x v="0"/>
    <s v="A. Sharma"/>
  </r>
  <r>
    <s v="T100481"/>
    <x v="250"/>
    <x v="7"/>
    <x v="105"/>
    <x v="4"/>
    <s v="Tamil Nadu"/>
    <x v="0"/>
    <s v="Withdrawal"/>
    <n v="0"/>
    <n v="59461"/>
    <n v="0"/>
    <n v="0"/>
    <n v="0"/>
    <x v="53"/>
    <n v="40"/>
    <s v="Female"/>
    <n v="2612268"/>
    <x v="0"/>
    <x v="0"/>
    <s v="N. Rao"/>
  </r>
  <r>
    <s v="T100482"/>
    <x v="263"/>
    <x v="8"/>
    <x v="233"/>
    <x v="3"/>
    <s v="Delhi"/>
    <x v="3"/>
    <s v="Interest"/>
    <n v="0"/>
    <n v="0"/>
    <n v="0"/>
    <n v="0"/>
    <n v="2423.91"/>
    <x v="256"/>
    <n v="49"/>
    <s v="Female"/>
    <n v="2270935"/>
    <x v="0"/>
    <x v="0"/>
    <s v="S. Kumar"/>
  </r>
  <r>
    <s v="T100483"/>
    <x v="261"/>
    <x v="10"/>
    <x v="234"/>
    <x v="5"/>
    <s v="Maharashtra"/>
    <x v="0"/>
    <s v="Interest"/>
    <n v="0"/>
    <n v="0"/>
    <n v="0"/>
    <n v="0"/>
    <n v="4834.87"/>
    <x v="57"/>
    <n v="57"/>
    <s v="Female"/>
    <n v="1657283"/>
    <x v="0"/>
    <x v="0"/>
    <s v="S. Kumar"/>
  </r>
  <r>
    <s v="T100484"/>
    <x v="99"/>
    <x v="2"/>
    <x v="103"/>
    <x v="4"/>
    <s v="Maharashtra"/>
    <x v="3"/>
    <s v="Interest"/>
    <n v="0"/>
    <n v="0"/>
    <n v="0"/>
    <n v="0"/>
    <n v="9872.17"/>
    <x v="326"/>
    <n v="44"/>
    <s v="Female"/>
    <n v="1849547"/>
    <x v="1"/>
    <x v="0"/>
    <s v="S. Kumar"/>
  </r>
  <r>
    <s v="T100485"/>
    <x v="217"/>
    <x v="0"/>
    <x v="191"/>
    <x v="0"/>
    <s v="Maharashtra"/>
    <x v="1"/>
    <s v="Loan"/>
    <n v="0"/>
    <n v="0"/>
    <n v="1969180"/>
    <n v="0"/>
    <n v="0"/>
    <x v="163"/>
    <n v="64"/>
    <s v="Male"/>
    <n v="1486317"/>
    <x v="0"/>
    <x v="1"/>
    <s v="N. Rao"/>
  </r>
  <r>
    <s v="T100486"/>
    <x v="165"/>
    <x v="2"/>
    <x v="231"/>
    <x v="2"/>
    <s v="Maharashtra"/>
    <x v="2"/>
    <s v="Interest"/>
    <n v="0"/>
    <n v="0"/>
    <n v="0"/>
    <n v="0"/>
    <n v="5711.98"/>
    <x v="47"/>
    <n v="29"/>
    <s v="Male"/>
    <n v="482425"/>
    <x v="0"/>
    <x v="0"/>
    <s v="P. Singh"/>
  </r>
  <r>
    <s v="T100487"/>
    <x v="58"/>
    <x v="11"/>
    <x v="93"/>
    <x v="2"/>
    <s v="Maharashtra"/>
    <x v="2"/>
    <s v="Deposit"/>
    <n v="64548"/>
    <n v="0"/>
    <n v="0"/>
    <n v="0"/>
    <n v="0"/>
    <x v="327"/>
    <n v="34"/>
    <s v="Male"/>
    <n v="1478038"/>
    <x v="0"/>
    <x v="0"/>
    <s v="S. Kumar"/>
  </r>
  <r>
    <s v="T100488"/>
    <x v="161"/>
    <x v="9"/>
    <x v="203"/>
    <x v="1"/>
    <s v="Karnataka"/>
    <x v="2"/>
    <s v="Deposit"/>
    <n v="5915"/>
    <n v="0"/>
    <n v="0"/>
    <n v="0"/>
    <n v="0"/>
    <x v="328"/>
    <n v="24"/>
    <s v="Male"/>
    <n v="2730347"/>
    <x v="0"/>
    <x v="0"/>
    <s v="A. Sharma"/>
  </r>
  <r>
    <s v="T100489"/>
    <x v="257"/>
    <x v="9"/>
    <x v="154"/>
    <x v="3"/>
    <s v="Karnataka"/>
    <x v="0"/>
    <s v="Withdrawal"/>
    <n v="0"/>
    <n v="73751"/>
    <n v="0"/>
    <n v="0"/>
    <n v="0"/>
    <x v="6"/>
    <n v="69"/>
    <s v="Male"/>
    <n v="786682"/>
    <x v="0"/>
    <x v="0"/>
    <s v="S. Kumar"/>
  </r>
  <r>
    <s v="T100490"/>
    <x v="121"/>
    <x v="10"/>
    <x v="156"/>
    <x v="4"/>
    <s v="Karnataka"/>
    <x v="1"/>
    <s v="Interest"/>
    <n v="0"/>
    <n v="0"/>
    <n v="0"/>
    <n v="0"/>
    <n v="4198.96"/>
    <x v="294"/>
    <n v="49"/>
    <s v="Male"/>
    <n v="1501771"/>
    <x v="0"/>
    <x v="0"/>
    <s v="P. Singh"/>
  </r>
  <r>
    <s v="T100491"/>
    <x v="264"/>
    <x v="6"/>
    <x v="185"/>
    <x v="0"/>
    <s v="Delhi"/>
    <x v="3"/>
    <s v="Loan"/>
    <n v="0"/>
    <n v="0"/>
    <n v="1183181"/>
    <n v="0"/>
    <n v="0"/>
    <x v="78"/>
    <n v="18"/>
    <s v="Male"/>
    <n v="2182722"/>
    <x v="1"/>
    <x v="2"/>
    <s v="R. Patel"/>
  </r>
  <r>
    <s v="T100492"/>
    <x v="44"/>
    <x v="9"/>
    <x v="125"/>
    <x v="0"/>
    <s v="Maharashtra"/>
    <x v="2"/>
    <s v="Interest"/>
    <n v="0"/>
    <n v="0"/>
    <n v="0"/>
    <n v="0"/>
    <n v="4147.67"/>
    <x v="329"/>
    <n v="50"/>
    <s v="Female"/>
    <n v="2281608"/>
    <x v="1"/>
    <x v="0"/>
    <s v="S. Kumar"/>
  </r>
  <r>
    <s v="T100493"/>
    <x v="265"/>
    <x v="3"/>
    <x v="198"/>
    <x v="2"/>
    <s v="Telangana"/>
    <x v="3"/>
    <s v="Interest"/>
    <n v="0"/>
    <n v="0"/>
    <n v="0"/>
    <n v="0"/>
    <n v="2613.0700000000002"/>
    <x v="330"/>
    <n v="58"/>
    <s v="Female"/>
    <n v="2008746"/>
    <x v="1"/>
    <x v="0"/>
    <s v="S. Kumar"/>
  </r>
  <r>
    <s v="T100494"/>
    <x v="158"/>
    <x v="2"/>
    <x v="3"/>
    <x v="5"/>
    <s v="Tamil Nadu"/>
    <x v="0"/>
    <s v="Loan"/>
    <n v="0"/>
    <n v="0"/>
    <n v="610436"/>
    <n v="0"/>
    <n v="0"/>
    <x v="157"/>
    <n v="53"/>
    <s v="Female"/>
    <n v="706433"/>
    <x v="1"/>
    <x v="1"/>
    <s v="R. Patel"/>
  </r>
  <r>
    <s v="T100495"/>
    <x v="35"/>
    <x v="6"/>
    <x v="182"/>
    <x v="0"/>
    <s v="Delhi"/>
    <x v="1"/>
    <s v="Interest"/>
    <n v="0"/>
    <n v="0"/>
    <n v="0"/>
    <n v="0"/>
    <n v="5494.83"/>
    <x v="331"/>
    <n v="56"/>
    <s v="Male"/>
    <n v="2279465"/>
    <x v="0"/>
    <x v="0"/>
    <s v="S. Kumar"/>
  </r>
  <r>
    <s v="T100496"/>
    <x v="43"/>
    <x v="8"/>
    <x v="38"/>
    <x v="5"/>
    <s v="Delhi"/>
    <x v="2"/>
    <s v="Deposit"/>
    <n v="179272"/>
    <n v="0"/>
    <n v="0"/>
    <n v="0"/>
    <n v="0"/>
    <x v="283"/>
    <n v="42"/>
    <s v="Female"/>
    <n v="985976"/>
    <x v="0"/>
    <x v="0"/>
    <s v="A. Sharma"/>
  </r>
  <r>
    <s v="T100497"/>
    <x v="18"/>
    <x v="9"/>
    <x v="196"/>
    <x v="2"/>
    <s v="Telangana"/>
    <x v="1"/>
    <s v="Deposit"/>
    <n v="82397"/>
    <n v="0"/>
    <n v="0"/>
    <n v="0"/>
    <n v="0"/>
    <x v="332"/>
    <n v="60"/>
    <s v="Female"/>
    <n v="432837"/>
    <x v="0"/>
    <x v="0"/>
    <s v="P. Singh"/>
  </r>
  <r>
    <s v="T100498"/>
    <x v="266"/>
    <x v="6"/>
    <x v="36"/>
    <x v="2"/>
    <s v="Tamil Nadu"/>
    <x v="0"/>
    <s v="EMI"/>
    <n v="0"/>
    <n v="0"/>
    <n v="0"/>
    <n v="5231"/>
    <n v="0"/>
    <x v="333"/>
    <n v="41"/>
    <s v="Female"/>
    <n v="760150"/>
    <x v="1"/>
    <x v="3"/>
    <s v="P. Singh"/>
  </r>
  <r>
    <s v="T100499"/>
    <x v="47"/>
    <x v="8"/>
    <x v="156"/>
    <x v="5"/>
    <s v="Tamil Nadu"/>
    <x v="2"/>
    <s v="Deposit"/>
    <n v="7749"/>
    <n v="0"/>
    <n v="0"/>
    <n v="0"/>
    <n v="0"/>
    <x v="334"/>
    <n v="26"/>
    <s v="Male"/>
    <n v="2653364"/>
    <x v="0"/>
    <x v="0"/>
    <s v="P. Singh"/>
  </r>
  <r>
    <s v="T100500"/>
    <x v="267"/>
    <x v="9"/>
    <x v="190"/>
    <x v="4"/>
    <s v="Telangana"/>
    <x v="3"/>
    <s v="EMI"/>
    <n v="0"/>
    <n v="0"/>
    <n v="0"/>
    <n v="25588"/>
    <n v="0"/>
    <x v="335"/>
    <n v="32"/>
    <s v="Female"/>
    <n v="2888702"/>
    <x v="1"/>
    <x v="0"/>
    <s v="N. Rao"/>
  </r>
  <r>
    <s v="T100501"/>
    <x v="51"/>
    <x v="11"/>
    <x v="104"/>
    <x v="4"/>
    <s v="Tamil Nadu"/>
    <x v="3"/>
    <s v="Deposit"/>
    <n v="112114"/>
    <n v="0"/>
    <n v="0"/>
    <n v="0"/>
    <n v="0"/>
    <x v="336"/>
    <n v="63"/>
    <s v="Female"/>
    <n v="2393058"/>
    <x v="0"/>
    <x v="0"/>
    <s v="A. Sharma"/>
  </r>
  <r>
    <s v="T100502"/>
    <x v="102"/>
    <x v="6"/>
    <x v="146"/>
    <x v="4"/>
    <s v="Telangana"/>
    <x v="2"/>
    <s v="Deposit"/>
    <n v="59149"/>
    <n v="0"/>
    <n v="0"/>
    <n v="0"/>
    <n v="0"/>
    <x v="337"/>
    <n v="68"/>
    <s v="Male"/>
    <n v="1781649"/>
    <x v="1"/>
    <x v="0"/>
    <s v="S. Kumar"/>
  </r>
  <r>
    <s v="T100503"/>
    <x v="268"/>
    <x v="7"/>
    <x v="66"/>
    <x v="5"/>
    <s v="Maharashtra"/>
    <x v="1"/>
    <s v="Loan"/>
    <n v="0"/>
    <n v="0"/>
    <n v="1177815"/>
    <n v="0"/>
    <n v="0"/>
    <x v="126"/>
    <n v="21"/>
    <s v="Female"/>
    <n v="363355"/>
    <x v="0"/>
    <x v="1"/>
    <s v="R. Patel"/>
  </r>
  <r>
    <s v="T100504"/>
    <x v="186"/>
    <x v="2"/>
    <x v="235"/>
    <x v="1"/>
    <s v="Karnataka"/>
    <x v="3"/>
    <s v="Loan"/>
    <n v="0"/>
    <n v="0"/>
    <n v="556890"/>
    <n v="0"/>
    <n v="0"/>
    <x v="338"/>
    <n v="65"/>
    <s v="Male"/>
    <n v="2016479"/>
    <x v="0"/>
    <x v="1"/>
    <s v="N. Rao"/>
  </r>
  <r>
    <s v="T100505"/>
    <x v="269"/>
    <x v="5"/>
    <x v="84"/>
    <x v="4"/>
    <s v="Tamil Nadu"/>
    <x v="1"/>
    <s v="Withdrawal"/>
    <n v="0"/>
    <n v="95312"/>
    <n v="0"/>
    <n v="0"/>
    <n v="0"/>
    <x v="339"/>
    <n v="40"/>
    <s v="Female"/>
    <n v="1982534"/>
    <x v="1"/>
    <x v="0"/>
    <s v="P. Singh"/>
  </r>
  <r>
    <s v="T100506"/>
    <x v="143"/>
    <x v="5"/>
    <x v="236"/>
    <x v="1"/>
    <s v="Tamil Nadu"/>
    <x v="1"/>
    <s v="Loan"/>
    <n v="0"/>
    <n v="0"/>
    <n v="1281875"/>
    <n v="0"/>
    <n v="0"/>
    <x v="340"/>
    <n v="70"/>
    <s v="Female"/>
    <n v="781221"/>
    <x v="0"/>
    <x v="1"/>
    <s v="A. Sharma"/>
  </r>
  <r>
    <s v="T100507"/>
    <x v="8"/>
    <x v="3"/>
    <x v="132"/>
    <x v="0"/>
    <s v="Karnataka"/>
    <x v="0"/>
    <s v="Interest"/>
    <n v="0"/>
    <n v="0"/>
    <n v="0"/>
    <n v="0"/>
    <n v="688.27"/>
    <x v="124"/>
    <n v="46"/>
    <s v="Female"/>
    <n v="2706547"/>
    <x v="0"/>
    <x v="0"/>
    <s v="N. Rao"/>
  </r>
  <r>
    <s v="T100508"/>
    <x v="103"/>
    <x v="8"/>
    <x v="237"/>
    <x v="5"/>
    <s v="Karnataka"/>
    <x v="0"/>
    <s v="Withdrawal"/>
    <n v="0"/>
    <n v="83850"/>
    <n v="0"/>
    <n v="0"/>
    <n v="0"/>
    <x v="134"/>
    <n v="33"/>
    <s v="Female"/>
    <n v="2380570"/>
    <x v="0"/>
    <x v="0"/>
    <s v="N. Rao"/>
  </r>
  <r>
    <s v="T100509"/>
    <x v="270"/>
    <x v="6"/>
    <x v="238"/>
    <x v="5"/>
    <s v="Maharashtra"/>
    <x v="1"/>
    <s v="Loan"/>
    <n v="0"/>
    <n v="0"/>
    <n v="227653"/>
    <n v="0"/>
    <n v="0"/>
    <x v="341"/>
    <n v="57"/>
    <s v="Male"/>
    <n v="1198212"/>
    <x v="0"/>
    <x v="1"/>
    <s v="R. Patel"/>
  </r>
  <r>
    <s v="T100510"/>
    <x v="73"/>
    <x v="6"/>
    <x v="133"/>
    <x v="1"/>
    <s v="Maharashtra"/>
    <x v="3"/>
    <s v="Loan"/>
    <n v="0"/>
    <n v="0"/>
    <n v="989162"/>
    <n v="0"/>
    <n v="0"/>
    <x v="55"/>
    <n v="23"/>
    <s v="Female"/>
    <n v="2314822"/>
    <x v="1"/>
    <x v="1"/>
    <s v="N. Rao"/>
  </r>
  <r>
    <s v="T100511"/>
    <x v="141"/>
    <x v="0"/>
    <x v="239"/>
    <x v="4"/>
    <s v="Tamil Nadu"/>
    <x v="0"/>
    <s v="Withdrawal"/>
    <n v="0"/>
    <n v="67424"/>
    <n v="0"/>
    <n v="0"/>
    <n v="0"/>
    <x v="122"/>
    <n v="42"/>
    <s v="Female"/>
    <n v="2822370"/>
    <x v="1"/>
    <x v="0"/>
    <s v="S. Kumar"/>
  </r>
  <r>
    <s v="T100512"/>
    <x v="178"/>
    <x v="0"/>
    <x v="22"/>
    <x v="4"/>
    <s v="Delhi"/>
    <x v="2"/>
    <s v="Loan"/>
    <n v="0"/>
    <n v="0"/>
    <n v="1634479"/>
    <n v="0"/>
    <n v="0"/>
    <x v="313"/>
    <n v="42"/>
    <s v="Female"/>
    <n v="1079231"/>
    <x v="0"/>
    <x v="1"/>
    <s v="N. Rao"/>
  </r>
  <r>
    <s v="T100513"/>
    <x v="271"/>
    <x v="7"/>
    <x v="165"/>
    <x v="0"/>
    <s v="Maharashtra"/>
    <x v="1"/>
    <s v="Interest"/>
    <n v="0"/>
    <n v="0"/>
    <n v="0"/>
    <n v="0"/>
    <n v="199.61"/>
    <x v="176"/>
    <n v="49"/>
    <s v="Female"/>
    <n v="1298270"/>
    <x v="1"/>
    <x v="0"/>
    <s v="A. Sharma"/>
  </r>
  <r>
    <s v="T100514"/>
    <x v="272"/>
    <x v="11"/>
    <x v="240"/>
    <x v="2"/>
    <s v="Tamil Nadu"/>
    <x v="0"/>
    <s v="Interest"/>
    <n v="0"/>
    <n v="0"/>
    <n v="0"/>
    <n v="0"/>
    <n v="3359.56"/>
    <x v="82"/>
    <n v="46"/>
    <s v="Male"/>
    <n v="551532"/>
    <x v="0"/>
    <x v="0"/>
    <s v="N. Rao"/>
  </r>
  <r>
    <s v="T100515"/>
    <x v="200"/>
    <x v="5"/>
    <x v="241"/>
    <x v="1"/>
    <s v="Maharashtra"/>
    <x v="1"/>
    <s v="Withdrawal"/>
    <n v="0"/>
    <n v="64073"/>
    <n v="0"/>
    <n v="0"/>
    <n v="0"/>
    <x v="342"/>
    <n v="70"/>
    <s v="Male"/>
    <n v="2004447"/>
    <x v="0"/>
    <x v="0"/>
    <s v="N. Rao"/>
  </r>
  <r>
    <s v="T100516"/>
    <x v="106"/>
    <x v="6"/>
    <x v="173"/>
    <x v="2"/>
    <s v="Maharashtra"/>
    <x v="0"/>
    <s v="Interest"/>
    <n v="0"/>
    <n v="0"/>
    <n v="0"/>
    <n v="0"/>
    <n v="6114.67"/>
    <x v="25"/>
    <n v="27"/>
    <s v="Female"/>
    <n v="2660366"/>
    <x v="1"/>
    <x v="0"/>
    <s v="S. Kumar"/>
  </r>
  <r>
    <s v="T100517"/>
    <x v="135"/>
    <x v="0"/>
    <x v="109"/>
    <x v="3"/>
    <s v="Tamil Nadu"/>
    <x v="1"/>
    <s v="Withdrawal"/>
    <n v="0"/>
    <n v="74796"/>
    <n v="0"/>
    <n v="0"/>
    <n v="0"/>
    <x v="288"/>
    <n v="45"/>
    <s v="Female"/>
    <n v="296904"/>
    <x v="1"/>
    <x v="0"/>
    <s v="S. Kumar"/>
  </r>
  <r>
    <s v="T100518"/>
    <x v="83"/>
    <x v="11"/>
    <x v="178"/>
    <x v="2"/>
    <s v="Maharashtra"/>
    <x v="1"/>
    <s v="Interest"/>
    <n v="0"/>
    <n v="0"/>
    <n v="0"/>
    <n v="0"/>
    <n v="7332.85"/>
    <x v="324"/>
    <n v="29"/>
    <s v="Male"/>
    <n v="2671097"/>
    <x v="1"/>
    <x v="0"/>
    <s v="A. Sharma"/>
  </r>
  <r>
    <s v="T100519"/>
    <x v="273"/>
    <x v="7"/>
    <x v="231"/>
    <x v="4"/>
    <s v="Telangana"/>
    <x v="2"/>
    <s v="Loan"/>
    <n v="0"/>
    <n v="0"/>
    <n v="218710"/>
    <n v="0"/>
    <n v="0"/>
    <x v="343"/>
    <n v="59"/>
    <s v="Male"/>
    <n v="2800877"/>
    <x v="0"/>
    <x v="1"/>
    <s v="N. Rao"/>
  </r>
  <r>
    <s v="T100520"/>
    <x v="44"/>
    <x v="9"/>
    <x v="15"/>
    <x v="2"/>
    <s v="Karnataka"/>
    <x v="0"/>
    <s v="Loan"/>
    <n v="0"/>
    <n v="0"/>
    <n v="247244"/>
    <n v="0"/>
    <n v="0"/>
    <x v="57"/>
    <n v="33"/>
    <s v="Male"/>
    <n v="2827019"/>
    <x v="0"/>
    <x v="2"/>
    <s v="P. Singh"/>
  </r>
  <r>
    <s v="T100521"/>
    <x v="165"/>
    <x v="2"/>
    <x v="242"/>
    <x v="3"/>
    <s v="Tamil Nadu"/>
    <x v="1"/>
    <s v="Interest"/>
    <n v="0"/>
    <n v="0"/>
    <n v="0"/>
    <n v="0"/>
    <n v="937.01"/>
    <x v="344"/>
    <n v="27"/>
    <s v="Male"/>
    <n v="244187"/>
    <x v="1"/>
    <x v="0"/>
    <s v="S. Kumar"/>
  </r>
  <r>
    <s v="T100522"/>
    <x v="179"/>
    <x v="5"/>
    <x v="153"/>
    <x v="0"/>
    <s v="Telangana"/>
    <x v="0"/>
    <s v="EMI"/>
    <n v="0"/>
    <n v="0"/>
    <n v="0"/>
    <n v="2631"/>
    <n v="0"/>
    <x v="345"/>
    <n v="35"/>
    <s v="Female"/>
    <n v="1581936"/>
    <x v="0"/>
    <x v="3"/>
    <s v="P. Singh"/>
  </r>
  <r>
    <s v="T100523"/>
    <x v="274"/>
    <x v="10"/>
    <x v="236"/>
    <x v="0"/>
    <s v="Telangana"/>
    <x v="2"/>
    <s v="Deposit"/>
    <n v="133764"/>
    <n v="0"/>
    <n v="0"/>
    <n v="0"/>
    <n v="0"/>
    <x v="19"/>
    <n v="59"/>
    <s v="Male"/>
    <n v="1276687"/>
    <x v="0"/>
    <x v="0"/>
    <s v="A. Sharma"/>
  </r>
  <r>
    <s v="T100524"/>
    <x v="202"/>
    <x v="6"/>
    <x v="204"/>
    <x v="3"/>
    <s v="Tamil Nadu"/>
    <x v="0"/>
    <s v="Interest"/>
    <n v="0"/>
    <n v="0"/>
    <n v="0"/>
    <n v="0"/>
    <n v="1576.5"/>
    <x v="213"/>
    <n v="41"/>
    <s v="Female"/>
    <n v="2444842"/>
    <x v="0"/>
    <x v="0"/>
    <s v="N. Rao"/>
  </r>
  <r>
    <s v="T100525"/>
    <x v="179"/>
    <x v="5"/>
    <x v="109"/>
    <x v="4"/>
    <s v="Telangana"/>
    <x v="3"/>
    <s v="Deposit"/>
    <n v="15873"/>
    <n v="0"/>
    <n v="0"/>
    <n v="0"/>
    <n v="0"/>
    <x v="125"/>
    <n v="64"/>
    <s v="Female"/>
    <n v="2545698"/>
    <x v="1"/>
    <x v="0"/>
    <s v="P. Singh"/>
  </r>
  <r>
    <s v="T100526"/>
    <x v="194"/>
    <x v="9"/>
    <x v="243"/>
    <x v="3"/>
    <s v="Telangana"/>
    <x v="0"/>
    <s v="EMI"/>
    <n v="0"/>
    <n v="0"/>
    <n v="0"/>
    <n v="44028"/>
    <n v="0"/>
    <x v="346"/>
    <n v="28"/>
    <s v="Male"/>
    <n v="1267364"/>
    <x v="1"/>
    <x v="1"/>
    <s v="A. Sharma"/>
  </r>
  <r>
    <s v="T100527"/>
    <x v="81"/>
    <x v="4"/>
    <x v="218"/>
    <x v="5"/>
    <s v="Telangana"/>
    <x v="3"/>
    <s v="Loan"/>
    <n v="0"/>
    <n v="0"/>
    <n v="1463675"/>
    <n v="0"/>
    <n v="0"/>
    <x v="41"/>
    <n v="33"/>
    <s v="Female"/>
    <n v="952666"/>
    <x v="0"/>
    <x v="2"/>
    <s v="S. Kumar"/>
  </r>
  <r>
    <s v="T100528"/>
    <x v="226"/>
    <x v="8"/>
    <x v="149"/>
    <x v="3"/>
    <s v="Telangana"/>
    <x v="1"/>
    <s v="EMI"/>
    <n v="0"/>
    <n v="0"/>
    <n v="0"/>
    <n v="24991"/>
    <n v="0"/>
    <x v="347"/>
    <n v="46"/>
    <s v="Female"/>
    <n v="452099"/>
    <x v="1"/>
    <x v="1"/>
    <s v="S. Kumar"/>
  </r>
  <r>
    <s v="T100529"/>
    <x v="104"/>
    <x v="10"/>
    <x v="244"/>
    <x v="1"/>
    <s v="Telangana"/>
    <x v="3"/>
    <s v="Interest"/>
    <n v="0"/>
    <n v="0"/>
    <n v="0"/>
    <n v="0"/>
    <n v="3803.94"/>
    <x v="348"/>
    <n v="52"/>
    <s v="Male"/>
    <n v="1336649"/>
    <x v="1"/>
    <x v="0"/>
    <s v="S. Kumar"/>
  </r>
  <r>
    <s v="T100530"/>
    <x v="266"/>
    <x v="6"/>
    <x v="125"/>
    <x v="3"/>
    <s v="Maharashtra"/>
    <x v="3"/>
    <s v="Deposit"/>
    <n v="78601"/>
    <n v="0"/>
    <n v="0"/>
    <n v="0"/>
    <n v="0"/>
    <x v="349"/>
    <n v="48"/>
    <s v="Male"/>
    <n v="937977"/>
    <x v="0"/>
    <x v="0"/>
    <s v="P. Singh"/>
  </r>
  <r>
    <s v="T100531"/>
    <x v="275"/>
    <x v="4"/>
    <x v="16"/>
    <x v="4"/>
    <s v="Maharashtra"/>
    <x v="3"/>
    <s v="Deposit"/>
    <n v="56311"/>
    <n v="0"/>
    <n v="0"/>
    <n v="0"/>
    <n v="0"/>
    <x v="350"/>
    <n v="67"/>
    <s v="Male"/>
    <n v="1715308"/>
    <x v="0"/>
    <x v="0"/>
    <s v="A. Sharma"/>
  </r>
  <r>
    <s v="T100532"/>
    <x v="173"/>
    <x v="10"/>
    <x v="205"/>
    <x v="0"/>
    <s v="Karnataka"/>
    <x v="1"/>
    <s v="Deposit"/>
    <n v="1793"/>
    <n v="0"/>
    <n v="0"/>
    <n v="0"/>
    <n v="0"/>
    <x v="134"/>
    <n v="36"/>
    <s v="Male"/>
    <n v="2306746"/>
    <x v="1"/>
    <x v="0"/>
    <s v="R. Patel"/>
  </r>
  <r>
    <s v="T100533"/>
    <x v="276"/>
    <x v="11"/>
    <x v="64"/>
    <x v="1"/>
    <s v="Maharashtra"/>
    <x v="2"/>
    <s v="EMI"/>
    <n v="0"/>
    <n v="0"/>
    <n v="0"/>
    <n v="13980"/>
    <n v="0"/>
    <x v="351"/>
    <n v="26"/>
    <s v="Female"/>
    <n v="2212289"/>
    <x v="1"/>
    <x v="3"/>
    <s v="A. Sharma"/>
  </r>
  <r>
    <s v="T100534"/>
    <x v="277"/>
    <x v="1"/>
    <x v="176"/>
    <x v="5"/>
    <s v="Delhi"/>
    <x v="1"/>
    <s v="Loan"/>
    <n v="0"/>
    <n v="0"/>
    <n v="153673"/>
    <n v="0"/>
    <n v="0"/>
    <x v="352"/>
    <n v="36"/>
    <s v="Female"/>
    <n v="2323578"/>
    <x v="0"/>
    <x v="2"/>
    <s v="N. Rao"/>
  </r>
  <r>
    <s v="T100535"/>
    <x v="278"/>
    <x v="0"/>
    <x v="100"/>
    <x v="3"/>
    <s v="Karnataka"/>
    <x v="3"/>
    <s v="Loan"/>
    <n v="0"/>
    <n v="0"/>
    <n v="1826081"/>
    <n v="0"/>
    <n v="0"/>
    <x v="353"/>
    <n v="30"/>
    <s v="Male"/>
    <n v="772283"/>
    <x v="0"/>
    <x v="1"/>
    <s v="A. Sharma"/>
  </r>
  <r>
    <s v="T100536"/>
    <x v="200"/>
    <x v="5"/>
    <x v="208"/>
    <x v="4"/>
    <s v="Telangana"/>
    <x v="1"/>
    <s v="EMI"/>
    <n v="0"/>
    <n v="0"/>
    <n v="0"/>
    <n v="16222"/>
    <n v="0"/>
    <x v="88"/>
    <n v="70"/>
    <s v="Male"/>
    <n v="2274697"/>
    <x v="1"/>
    <x v="4"/>
    <s v="A. Sharma"/>
  </r>
  <r>
    <s v="T100537"/>
    <x v="57"/>
    <x v="2"/>
    <x v="38"/>
    <x v="3"/>
    <s v="Maharashtra"/>
    <x v="1"/>
    <s v="EMI"/>
    <n v="0"/>
    <n v="0"/>
    <n v="0"/>
    <n v="13594"/>
    <n v="0"/>
    <x v="334"/>
    <n v="52"/>
    <s v="Female"/>
    <n v="2987035"/>
    <x v="0"/>
    <x v="1"/>
    <s v="N. Rao"/>
  </r>
  <r>
    <s v="T100538"/>
    <x v="34"/>
    <x v="5"/>
    <x v="74"/>
    <x v="0"/>
    <s v="Tamil Nadu"/>
    <x v="1"/>
    <s v="Deposit"/>
    <n v="54022"/>
    <n v="0"/>
    <n v="0"/>
    <n v="0"/>
    <n v="0"/>
    <x v="173"/>
    <n v="65"/>
    <s v="Male"/>
    <n v="925898"/>
    <x v="1"/>
    <x v="0"/>
    <s v="P. Singh"/>
  </r>
  <r>
    <s v="T100539"/>
    <x v="116"/>
    <x v="1"/>
    <x v="116"/>
    <x v="5"/>
    <s v="Maharashtra"/>
    <x v="0"/>
    <s v="EMI"/>
    <n v="0"/>
    <n v="0"/>
    <n v="0"/>
    <n v="7379"/>
    <n v="0"/>
    <x v="166"/>
    <n v="57"/>
    <s v="Female"/>
    <n v="1632779"/>
    <x v="0"/>
    <x v="4"/>
    <s v="A. Sharma"/>
  </r>
  <r>
    <s v="T100540"/>
    <x v="234"/>
    <x v="2"/>
    <x v="154"/>
    <x v="1"/>
    <s v="Delhi"/>
    <x v="3"/>
    <s v="Loan"/>
    <n v="0"/>
    <n v="0"/>
    <n v="255921"/>
    <n v="0"/>
    <n v="0"/>
    <x v="354"/>
    <n v="38"/>
    <s v="Male"/>
    <n v="2823384"/>
    <x v="0"/>
    <x v="2"/>
    <s v="N. Rao"/>
  </r>
  <r>
    <s v="T100541"/>
    <x v="34"/>
    <x v="5"/>
    <x v="45"/>
    <x v="3"/>
    <s v="Delhi"/>
    <x v="0"/>
    <s v="Deposit"/>
    <n v="106197"/>
    <n v="0"/>
    <n v="0"/>
    <n v="0"/>
    <n v="0"/>
    <x v="355"/>
    <n v="44"/>
    <s v="Female"/>
    <n v="2672606"/>
    <x v="1"/>
    <x v="0"/>
    <s v="R. Patel"/>
  </r>
  <r>
    <s v="T100542"/>
    <x v="134"/>
    <x v="4"/>
    <x v="18"/>
    <x v="5"/>
    <s v="Delhi"/>
    <x v="2"/>
    <s v="Interest"/>
    <n v="0"/>
    <n v="0"/>
    <n v="0"/>
    <n v="0"/>
    <n v="3452.55"/>
    <x v="282"/>
    <n v="66"/>
    <s v="Female"/>
    <n v="362862"/>
    <x v="0"/>
    <x v="0"/>
    <s v="A. Sharma"/>
  </r>
  <r>
    <s v="T100543"/>
    <x v="66"/>
    <x v="4"/>
    <x v="56"/>
    <x v="3"/>
    <s v="Tamil Nadu"/>
    <x v="1"/>
    <s v="EMI"/>
    <n v="0"/>
    <n v="0"/>
    <n v="0"/>
    <n v="18490"/>
    <n v="0"/>
    <x v="356"/>
    <n v="23"/>
    <s v="Male"/>
    <n v="555138"/>
    <x v="1"/>
    <x v="3"/>
    <s v="A. Sharma"/>
  </r>
  <r>
    <s v="T100544"/>
    <x v="279"/>
    <x v="11"/>
    <x v="229"/>
    <x v="4"/>
    <s v="Karnataka"/>
    <x v="1"/>
    <s v="EMI"/>
    <n v="0"/>
    <n v="0"/>
    <n v="0"/>
    <n v="23584"/>
    <n v="0"/>
    <x v="65"/>
    <n v="58"/>
    <s v="Female"/>
    <n v="1318806"/>
    <x v="0"/>
    <x v="1"/>
    <s v="N. Rao"/>
  </r>
  <r>
    <s v="T100545"/>
    <x v="280"/>
    <x v="5"/>
    <x v="19"/>
    <x v="3"/>
    <s v="Delhi"/>
    <x v="3"/>
    <s v="Loan"/>
    <n v="0"/>
    <n v="0"/>
    <n v="1092922"/>
    <n v="0"/>
    <n v="0"/>
    <x v="110"/>
    <n v="28"/>
    <s v="Male"/>
    <n v="1827028"/>
    <x v="0"/>
    <x v="2"/>
    <s v="A. Sharma"/>
  </r>
  <r>
    <s v="T100546"/>
    <x v="84"/>
    <x v="9"/>
    <x v="44"/>
    <x v="5"/>
    <s v="Delhi"/>
    <x v="3"/>
    <s v="Withdrawal"/>
    <n v="0"/>
    <n v="16027"/>
    <n v="0"/>
    <n v="0"/>
    <n v="0"/>
    <x v="337"/>
    <n v="41"/>
    <s v="Male"/>
    <n v="749097"/>
    <x v="1"/>
    <x v="0"/>
    <s v="N. Rao"/>
  </r>
  <r>
    <s v="T100547"/>
    <x v="68"/>
    <x v="9"/>
    <x v="155"/>
    <x v="5"/>
    <s v="Karnataka"/>
    <x v="1"/>
    <s v="EMI"/>
    <n v="0"/>
    <n v="0"/>
    <n v="0"/>
    <n v="2588"/>
    <n v="0"/>
    <x v="27"/>
    <n v="32"/>
    <s v="Female"/>
    <n v="2942008"/>
    <x v="0"/>
    <x v="3"/>
    <s v="N. Rao"/>
  </r>
  <r>
    <s v="T100548"/>
    <x v="222"/>
    <x v="9"/>
    <x v="192"/>
    <x v="1"/>
    <s v="Telangana"/>
    <x v="3"/>
    <s v="EMI"/>
    <n v="0"/>
    <n v="0"/>
    <n v="0"/>
    <n v="39323"/>
    <n v="0"/>
    <x v="357"/>
    <n v="48"/>
    <s v="Female"/>
    <n v="1844139"/>
    <x v="1"/>
    <x v="1"/>
    <s v="N. Rao"/>
  </r>
  <r>
    <s v="T100549"/>
    <x v="196"/>
    <x v="10"/>
    <x v="245"/>
    <x v="0"/>
    <s v="Telangana"/>
    <x v="0"/>
    <s v="Interest"/>
    <n v="0"/>
    <n v="0"/>
    <n v="0"/>
    <n v="0"/>
    <n v="9250"/>
    <x v="358"/>
    <n v="68"/>
    <s v="Female"/>
    <n v="513986"/>
    <x v="0"/>
    <x v="0"/>
    <s v="R. Patel"/>
  </r>
  <r>
    <s v="T100550"/>
    <x v="243"/>
    <x v="7"/>
    <x v="242"/>
    <x v="2"/>
    <s v="Tamil Nadu"/>
    <x v="1"/>
    <s v="Withdrawal"/>
    <n v="0"/>
    <n v="79696"/>
    <n v="0"/>
    <n v="0"/>
    <n v="0"/>
    <x v="359"/>
    <n v="18"/>
    <s v="Male"/>
    <n v="2969634"/>
    <x v="0"/>
    <x v="0"/>
    <s v="N. Rao"/>
  </r>
  <r>
    <s v="T100551"/>
    <x v="281"/>
    <x v="0"/>
    <x v="87"/>
    <x v="5"/>
    <s v="Delhi"/>
    <x v="1"/>
    <s v="Withdrawal"/>
    <n v="0"/>
    <n v="25594"/>
    <n v="0"/>
    <n v="0"/>
    <n v="0"/>
    <x v="157"/>
    <n v="69"/>
    <s v="Male"/>
    <n v="2183610"/>
    <x v="1"/>
    <x v="0"/>
    <s v="R. Patel"/>
  </r>
  <r>
    <s v="T100552"/>
    <x v="130"/>
    <x v="7"/>
    <x v="195"/>
    <x v="4"/>
    <s v="Maharashtra"/>
    <x v="2"/>
    <s v="EMI"/>
    <n v="0"/>
    <n v="0"/>
    <n v="0"/>
    <n v="4434"/>
    <n v="0"/>
    <x v="360"/>
    <n v="66"/>
    <s v="Male"/>
    <n v="522901"/>
    <x v="0"/>
    <x v="3"/>
    <s v="S. Kumar"/>
  </r>
  <r>
    <s v="T100553"/>
    <x v="282"/>
    <x v="4"/>
    <x v="84"/>
    <x v="4"/>
    <s v="Delhi"/>
    <x v="0"/>
    <s v="Loan"/>
    <n v="0"/>
    <n v="0"/>
    <n v="1340503"/>
    <n v="0"/>
    <n v="0"/>
    <x v="361"/>
    <n v="64"/>
    <s v="Male"/>
    <n v="1097128"/>
    <x v="1"/>
    <x v="2"/>
    <s v="N. Rao"/>
  </r>
  <r>
    <s v="T100554"/>
    <x v="283"/>
    <x v="0"/>
    <x v="138"/>
    <x v="0"/>
    <s v="Maharashtra"/>
    <x v="1"/>
    <s v="Withdrawal"/>
    <n v="0"/>
    <n v="48202"/>
    <n v="0"/>
    <n v="0"/>
    <n v="0"/>
    <x v="105"/>
    <n v="56"/>
    <s v="Female"/>
    <n v="1772461"/>
    <x v="0"/>
    <x v="0"/>
    <s v="P. Singh"/>
  </r>
  <r>
    <s v="T100555"/>
    <x v="284"/>
    <x v="2"/>
    <x v="246"/>
    <x v="1"/>
    <s v="Tamil Nadu"/>
    <x v="2"/>
    <s v="Interest"/>
    <n v="0"/>
    <n v="0"/>
    <n v="0"/>
    <n v="0"/>
    <n v="4846.22"/>
    <x v="151"/>
    <n v="65"/>
    <s v="Male"/>
    <n v="2163402"/>
    <x v="1"/>
    <x v="0"/>
    <s v="R. Patel"/>
  </r>
  <r>
    <s v="T100556"/>
    <x v="285"/>
    <x v="0"/>
    <x v="81"/>
    <x v="1"/>
    <s v="Maharashtra"/>
    <x v="0"/>
    <s v="Loan"/>
    <n v="0"/>
    <n v="0"/>
    <n v="745191"/>
    <n v="0"/>
    <n v="0"/>
    <x v="362"/>
    <n v="39"/>
    <s v="Female"/>
    <n v="2884620"/>
    <x v="0"/>
    <x v="1"/>
    <s v="R. Patel"/>
  </r>
  <r>
    <s v="T100557"/>
    <x v="145"/>
    <x v="2"/>
    <x v="193"/>
    <x v="2"/>
    <s v="Delhi"/>
    <x v="3"/>
    <s v="EMI"/>
    <n v="0"/>
    <n v="0"/>
    <n v="0"/>
    <n v="4689"/>
    <n v="0"/>
    <x v="363"/>
    <n v="64"/>
    <s v="Female"/>
    <n v="1150659"/>
    <x v="0"/>
    <x v="4"/>
    <s v="N. Rao"/>
  </r>
  <r>
    <s v="T100558"/>
    <x v="262"/>
    <x v="11"/>
    <x v="42"/>
    <x v="1"/>
    <s v="Maharashtra"/>
    <x v="2"/>
    <s v="Interest"/>
    <n v="0"/>
    <n v="0"/>
    <n v="0"/>
    <n v="0"/>
    <n v="3967.18"/>
    <x v="174"/>
    <n v="42"/>
    <s v="Female"/>
    <n v="846626"/>
    <x v="0"/>
    <x v="0"/>
    <s v="S. Kumar"/>
  </r>
  <r>
    <s v="T100559"/>
    <x v="188"/>
    <x v="5"/>
    <x v="247"/>
    <x v="0"/>
    <s v="Maharashtra"/>
    <x v="0"/>
    <s v="EMI"/>
    <n v="0"/>
    <n v="0"/>
    <n v="0"/>
    <n v="7172"/>
    <n v="0"/>
    <x v="364"/>
    <n v="23"/>
    <s v="Male"/>
    <n v="1244043"/>
    <x v="1"/>
    <x v="3"/>
    <s v="R. Patel"/>
  </r>
  <r>
    <s v="T100560"/>
    <x v="166"/>
    <x v="10"/>
    <x v="83"/>
    <x v="2"/>
    <s v="Karnataka"/>
    <x v="0"/>
    <s v="Loan"/>
    <n v="0"/>
    <n v="0"/>
    <n v="1547673"/>
    <n v="0"/>
    <n v="0"/>
    <x v="218"/>
    <n v="34"/>
    <s v="Male"/>
    <n v="1741350"/>
    <x v="0"/>
    <x v="2"/>
    <s v="P. Singh"/>
  </r>
  <r>
    <s v="T100561"/>
    <x v="129"/>
    <x v="6"/>
    <x v="82"/>
    <x v="1"/>
    <s v="Maharashtra"/>
    <x v="1"/>
    <s v="EMI"/>
    <n v="0"/>
    <n v="0"/>
    <n v="0"/>
    <n v="11217"/>
    <n v="0"/>
    <x v="365"/>
    <n v="55"/>
    <s v="Male"/>
    <n v="1867103"/>
    <x v="0"/>
    <x v="1"/>
    <s v="S. Kumar"/>
  </r>
  <r>
    <s v="T100562"/>
    <x v="201"/>
    <x v="10"/>
    <x v="163"/>
    <x v="2"/>
    <s v="Delhi"/>
    <x v="1"/>
    <s v="Loan"/>
    <n v="0"/>
    <n v="0"/>
    <n v="1556154"/>
    <n v="0"/>
    <n v="0"/>
    <x v="164"/>
    <n v="34"/>
    <s v="Male"/>
    <n v="892695"/>
    <x v="0"/>
    <x v="1"/>
    <s v="S. Kumar"/>
  </r>
  <r>
    <s v="T100564"/>
    <x v="31"/>
    <x v="4"/>
    <x v="248"/>
    <x v="2"/>
    <s v="Delhi"/>
    <x v="2"/>
    <s v="Interest"/>
    <n v="0"/>
    <n v="0"/>
    <n v="0"/>
    <n v="0"/>
    <n v="5450.2"/>
    <x v="272"/>
    <n v="29"/>
    <s v="Female"/>
    <n v="2525790"/>
    <x v="0"/>
    <x v="0"/>
    <s v="N. Rao"/>
  </r>
  <r>
    <s v="T100565"/>
    <x v="56"/>
    <x v="2"/>
    <x v="45"/>
    <x v="1"/>
    <s v="Karnataka"/>
    <x v="2"/>
    <s v="EMI"/>
    <n v="0"/>
    <n v="0"/>
    <n v="0"/>
    <n v="13918"/>
    <n v="0"/>
    <x v="265"/>
    <n v="57"/>
    <s v="Male"/>
    <n v="2515450"/>
    <x v="1"/>
    <x v="1"/>
    <s v="P. Singh"/>
  </r>
  <r>
    <s v="T100566"/>
    <x v="151"/>
    <x v="5"/>
    <x v="2"/>
    <x v="1"/>
    <s v="Karnataka"/>
    <x v="0"/>
    <s v="Deposit"/>
    <n v="80615"/>
    <n v="0"/>
    <n v="0"/>
    <n v="0"/>
    <n v="0"/>
    <x v="366"/>
    <n v="65"/>
    <s v="Female"/>
    <n v="705520"/>
    <x v="1"/>
    <x v="0"/>
    <s v="R. Patel"/>
  </r>
  <r>
    <s v="T100567"/>
    <x v="154"/>
    <x v="3"/>
    <x v="177"/>
    <x v="1"/>
    <s v="Tamil Nadu"/>
    <x v="2"/>
    <s v="Interest"/>
    <n v="0"/>
    <n v="0"/>
    <n v="0"/>
    <n v="0"/>
    <n v="8379.68"/>
    <x v="367"/>
    <n v="62"/>
    <s v="Male"/>
    <n v="883494"/>
    <x v="0"/>
    <x v="0"/>
    <s v="S. Kumar"/>
  </r>
  <r>
    <s v="T100568"/>
    <x v="121"/>
    <x v="10"/>
    <x v="222"/>
    <x v="1"/>
    <s v="Delhi"/>
    <x v="3"/>
    <s v="Deposit"/>
    <n v="87849"/>
    <n v="0"/>
    <n v="0"/>
    <n v="0"/>
    <n v="0"/>
    <x v="300"/>
    <n v="38"/>
    <s v="Male"/>
    <n v="2845893"/>
    <x v="0"/>
    <x v="0"/>
    <s v="N. Rao"/>
  </r>
  <r>
    <s v="T100569"/>
    <x v="226"/>
    <x v="8"/>
    <x v="48"/>
    <x v="2"/>
    <s v="Telangana"/>
    <x v="3"/>
    <s v="Loan"/>
    <n v="0"/>
    <n v="0"/>
    <n v="1391813"/>
    <n v="0"/>
    <n v="0"/>
    <x v="215"/>
    <n v="67"/>
    <s v="Male"/>
    <n v="1501939"/>
    <x v="1"/>
    <x v="2"/>
    <s v="N. Rao"/>
  </r>
  <r>
    <s v="T100570"/>
    <x v="286"/>
    <x v="0"/>
    <x v="82"/>
    <x v="2"/>
    <s v="Delhi"/>
    <x v="0"/>
    <s v="Withdrawal"/>
    <n v="0"/>
    <n v="94702"/>
    <n v="0"/>
    <n v="0"/>
    <n v="0"/>
    <x v="368"/>
    <n v="58"/>
    <s v="Female"/>
    <n v="1315963"/>
    <x v="1"/>
    <x v="0"/>
    <s v="R. Patel"/>
  </r>
  <r>
    <s v="T100571"/>
    <x v="218"/>
    <x v="11"/>
    <x v="249"/>
    <x v="4"/>
    <s v="Maharashtra"/>
    <x v="1"/>
    <s v="Deposit"/>
    <n v="169610"/>
    <n v="0"/>
    <n v="0"/>
    <n v="0"/>
    <n v="0"/>
    <x v="369"/>
    <n v="70"/>
    <s v="Male"/>
    <n v="907221"/>
    <x v="0"/>
    <x v="0"/>
    <s v="A. Sharma"/>
  </r>
  <r>
    <s v="T100572"/>
    <x v="41"/>
    <x v="1"/>
    <x v="213"/>
    <x v="2"/>
    <s v="Karnataka"/>
    <x v="1"/>
    <s v="EMI"/>
    <n v="0"/>
    <n v="0"/>
    <n v="0"/>
    <n v="30263"/>
    <n v="0"/>
    <x v="82"/>
    <n v="55"/>
    <s v="Male"/>
    <n v="582704"/>
    <x v="1"/>
    <x v="4"/>
    <s v="R. Patel"/>
  </r>
  <r>
    <s v="T100573"/>
    <x v="161"/>
    <x v="9"/>
    <x v="99"/>
    <x v="1"/>
    <s v="Tamil Nadu"/>
    <x v="1"/>
    <s v="Interest"/>
    <n v="0"/>
    <n v="0"/>
    <n v="0"/>
    <n v="0"/>
    <n v="5995.07"/>
    <x v="370"/>
    <n v="26"/>
    <s v="Female"/>
    <n v="2379858"/>
    <x v="1"/>
    <x v="0"/>
    <s v="S. Kumar"/>
  </r>
  <r>
    <s v="T100574"/>
    <x v="66"/>
    <x v="4"/>
    <x v="167"/>
    <x v="0"/>
    <s v="Maharashtra"/>
    <x v="3"/>
    <s v="Loan"/>
    <n v="0"/>
    <n v="0"/>
    <n v="1041559"/>
    <n v="0"/>
    <n v="0"/>
    <x v="201"/>
    <n v="49"/>
    <s v="Male"/>
    <n v="2027906"/>
    <x v="1"/>
    <x v="1"/>
    <s v="P. Singh"/>
  </r>
  <r>
    <s v="T100575"/>
    <x v="144"/>
    <x v="0"/>
    <x v="113"/>
    <x v="1"/>
    <s v="Telangana"/>
    <x v="1"/>
    <s v="Deposit"/>
    <n v="133835"/>
    <n v="0"/>
    <n v="0"/>
    <n v="0"/>
    <n v="0"/>
    <x v="371"/>
    <n v="45"/>
    <s v="Female"/>
    <n v="755829"/>
    <x v="1"/>
    <x v="0"/>
    <s v="S. Kumar"/>
  </r>
  <r>
    <s v="T100576"/>
    <x v="63"/>
    <x v="10"/>
    <x v="119"/>
    <x v="3"/>
    <s v="Tamil Nadu"/>
    <x v="3"/>
    <s v="Withdrawal"/>
    <n v="0"/>
    <n v="57895"/>
    <n v="0"/>
    <n v="0"/>
    <n v="0"/>
    <x v="372"/>
    <n v="64"/>
    <s v="Female"/>
    <n v="1722175"/>
    <x v="1"/>
    <x v="0"/>
    <s v="N. Rao"/>
  </r>
  <r>
    <s v="T100577"/>
    <x v="121"/>
    <x v="10"/>
    <x v="235"/>
    <x v="1"/>
    <s v="Maharashtra"/>
    <x v="1"/>
    <s v="Interest"/>
    <n v="0"/>
    <n v="0"/>
    <n v="0"/>
    <n v="0"/>
    <n v="4155.58"/>
    <x v="263"/>
    <n v="31"/>
    <s v="Female"/>
    <n v="2483487"/>
    <x v="1"/>
    <x v="0"/>
    <s v="N. Rao"/>
  </r>
  <r>
    <s v="T100578"/>
    <x v="7"/>
    <x v="6"/>
    <x v="39"/>
    <x v="3"/>
    <s v="Maharashtra"/>
    <x v="2"/>
    <s v="Deposit"/>
    <n v="110985"/>
    <n v="0"/>
    <n v="0"/>
    <n v="0"/>
    <n v="0"/>
    <x v="330"/>
    <n v="18"/>
    <s v="Female"/>
    <n v="1759399"/>
    <x v="0"/>
    <x v="0"/>
    <s v="A. Sharma"/>
  </r>
  <r>
    <s v="T100579"/>
    <x v="36"/>
    <x v="0"/>
    <x v="172"/>
    <x v="5"/>
    <s v="Delhi"/>
    <x v="0"/>
    <s v="Loan"/>
    <n v="0"/>
    <n v="0"/>
    <n v="1332776"/>
    <n v="0"/>
    <n v="0"/>
    <x v="145"/>
    <n v="19"/>
    <s v="Male"/>
    <n v="2597294"/>
    <x v="1"/>
    <x v="2"/>
    <s v="R. Patel"/>
  </r>
  <r>
    <s v="T100580"/>
    <x v="173"/>
    <x v="10"/>
    <x v="239"/>
    <x v="5"/>
    <s v="Maharashtra"/>
    <x v="2"/>
    <s v="Interest"/>
    <n v="0"/>
    <n v="0"/>
    <n v="0"/>
    <n v="0"/>
    <n v="8776.7800000000007"/>
    <x v="192"/>
    <n v="61"/>
    <s v="Male"/>
    <n v="1759053"/>
    <x v="1"/>
    <x v="0"/>
    <s v="N. Rao"/>
  </r>
  <r>
    <s v="T100581"/>
    <x v="287"/>
    <x v="2"/>
    <x v="181"/>
    <x v="2"/>
    <s v="Maharashtra"/>
    <x v="0"/>
    <s v="Interest"/>
    <n v="0"/>
    <n v="0"/>
    <n v="0"/>
    <n v="0"/>
    <n v="5385.32"/>
    <x v="373"/>
    <n v="63"/>
    <s v="Female"/>
    <n v="1651197"/>
    <x v="0"/>
    <x v="0"/>
    <s v="S. Kumar"/>
  </r>
  <r>
    <s v="T100582"/>
    <x v="288"/>
    <x v="1"/>
    <x v="228"/>
    <x v="2"/>
    <s v="Tamil Nadu"/>
    <x v="2"/>
    <s v="Loan"/>
    <n v="0"/>
    <n v="0"/>
    <n v="274579"/>
    <n v="0"/>
    <n v="0"/>
    <x v="200"/>
    <n v="33"/>
    <s v="Male"/>
    <n v="684633"/>
    <x v="1"/>
    <x v="1"/>
    <s v="A. Sharma"/>
  </r>
  <r>
    <s v="T100583"/>
    <x v="157"/>
    <x v="7"/>
    <x v="35"/>
    <x v="2"/>
    <s v="Maharashtra"/>
    <x v="3"/>
    <s v="Deposit"/>
    <n v="67097"/>
    <n v="0"/>
    <n v="0"/>
    <n v="0"/>
    <n v="0"/>
    <x v="298"/>
    <n v="31"/>
    <s v="Male"/>
    <n v="1614934"/>
    <x v="0"/>
    <x v="0"/>
    <s v="P. Singh"/>
  </r>
  <r>
    <s v="T100584"/>
    <x v="274"/>
    <x v="10"/>
    <x v="7"/>
    <x v="1"/>
    <s v="Delhi"/>
    <x v="0"/>
    <s v="Loan"/>
    <n v="0"/>
    <n v="0"/>
    <n v="966933"/>
    <n v="0"/>
    <n v="0"/>
    <x v="249"/>
    <n v="30"/>
    <s v="Male"/>
    <n v="1684305"/>
    <x v="0"/>
    <x v="1"/>
    <s v="S. Kumar"/>
  </r>
  <r>
    <s v="T100585"/>
    <x v="289"/>
    <x v="7"/>
    <x v="198"/>
    <x v="5"/>
    <s v="Delhi"/>
    <x v="1"/>
    <s v="EMI"/>
    <n v="0"/>
    <n v="0"/>
    <n v="0"/>
    <n v="35895"/>
    <n v="0"/>
    <x v="213"/>
    <n v="48"/>
    <s v="Female"/>
    <n v="1886795"/>
    <x v="1"/>
    <x v="3"/>
    <s v="N. Rao"/>
  </r>
  <r>
    <s v="T100586"/>
    <x v="93"/>
    <x v="6"/>
    <x v="250"/>
    <x v="1"/>
    <s v="Karnataka"/>
    <x v="3"/>
    <s v="Withdrawal"/>
    <n v="0"/>
    <n v="79011"/>
    <n v="0"/>
    <n v="0"/>
    <n v="0"/>
    <x v="162"/>
    <n v="31"/>
    <s v="Female"/>
    <n v="859198"/>
    <x v="0"/>
    <x v="0"/>
    <s v="A. Sharma"/>
  </r>
  <r>
    <s v="T100587"/>
    <x v="185"/>
    <x v="11"/>
    <x v="7"/>
    <x v="6"/>
    <s v="Delhi"/>
    <x v="0"/>
    <s v="Deposit"/>
    <n v="37564"/>
    <n v="0"/>
    <n v="0"/>
    <n v="0"/>
    <n v="0"/>
    <x v="351"/>
    <n v="52"/>
    <s v="Male"/>
    <n v="2957821"/>
    <x v="0"/>
    <x v="0"/>
    <s v="R. Patel"/>
  </r>
  <r>
    <s v="T100588"/>
    <x v="290"/>
    <x v="4"/>
    <x v="251"/>
    <x v="0"/>
    <s v="Karnataka"/>
    <x v="2"/>
    <s v="Loan"/>
    <n v="0"/>
    <n v="0"/>
    <n v="844314"/>
    <n v="0"/>
    <n v="0"/>
    <x v="156"/>
    <n v="18"/>
    <s v="Female"/>
    <n v="1420550"/>
    <x v="1"/>
    <x v="1"/>
    <s v="A. Sharma"/>
  </r>
  <r>
    <s v="T100589"/>
    <x v="291"/>
    <x v="5"/>
    <x v="252"/>
    <x v="3"/>
    <s v="Tamil Nadu"/>
    <x v="0"/>
    <s v="Withdrawal"/>
    <n v="0"/>
    <n v="53748"/>
    <n v="0"/>
    <n v="0"/>
    <n v="0"/>
    <x v="374"/>
    <n v="26"/>
    <s v="Male"/>
    <n v="1144118"/>
    <x v="1"/>
    <x v="0"/>
    <s v="P. Singh"/>
  </r>
  <r>
    <s v="T100590"/>
    <x v="252"/>
    <x v="5"/>
    <x v="36"/>
    <x v="2"/>
    <s v="Maharashtra"/>
    <x v="2"/>
    <s v="Interest"/>
    <n v="0"/>
    <n v="0"/>
    <n v="0"/>
    <n v="0"/>
    <n v="3339.44"/>
    <x v="375"/>
    <n v="57"/>
    <s v="Female"/>
    <n v="1081288"/>
    <x v="1"/>
    <x v="0"/>
    <s v="R. Patel"/>
  </r>
  <r>
    <s v="T100591"/>
    <x v="239"/>
    <x v="11"/>
    <x v="114"/>
    <x v="2"/>
    <s v="Maharashtra"/>
    <x v="2"/>
    <s v="Interest"/>
    <n v="0"/>
    <n v="0"/>
    <n v="0"/>
    <n v="0"/>
    <n v="4106.8900000000003"/>
    <x v="224"/>
    <n v="42"/>
    <s v="Female"/>
    <n v="2115273"/>
    <x v="1"/>
    <x v="0"/>
    <s v="S. Kumar"/>
  </r>
  <r>
    <s v="T100592"/>
    <x v="238"/>
    <x v="5"/>
    <x v="102"/>
    <x v="3"/>
    <s v="Maharashtra"/>
    <x v="2"/>
    <s v="Withdrawal"/>
    <n v="0"/>
    <n v="48548"/>
    <n v="0"/>
    <n v="0"/>
    <n v="0"/>
    <x v="8"/>
    <n v="48"/>
    <s v="Male"/>
    <n v="2585115"/>
    <x v="0"/>
    <x v="0"/>
    <s v="S. Kumar"/>
  </r>
  <r>
    <s v="T100593"/>
    <x v="99"/>
    <x v="2"/>
    <x v="223"/>
    <x v="1"/>
    <s v="Tamil Nadu"/>
    <x v="1"/>
    <s v="Loan"/>
    <n v="0"/>
    <n v="0"/>
    <n v="739678"/>
    <n v="0"/>
    <n v="0"/>
    <x v="376"/>
    <n v="23"/>
    <s v="Female"/>
    <n v="915577"/>
    <x v="0"/>
    <x v="1"/>
    <s v="R. Patel"/>
  </r>
  <r>
    <s v="T100594"/>
    <x v="215"/>
    <x v="4"/>
    <x v="19"/>
    <x v="0"/>
    <s v="Maharashtra"/>
    <x v="3"/>
    <s v="Deposit"/>
    <n v="168283"/>
    <n v="0"/>
    <n v="0"/>
    <n v="0"/>
    <n v="0"/>
    <x v="377"/>
    <n v="41"/>
    <s v="Male"/>
    <n v="616197"/>
    <x v="1"/>
    <x v="0"/>
    <s v="N. Rao"/>
  </r>
  <r>
    <s v="T100595"/>
    <x v="292"/>
    <x v="11"/>
    <x v="42"/>
    <x v="1"/>
    <s v="Karnataka"/>
    <x v="1"/>
    <s v="Withdrawal"/>
    <n v="0"/>
    <n v="15196"/>
    <n v="0"/>
    <n v="0"/>
    <n v="0"/>
    <x v="53"/>
    <n v="58"/>
    <s v="Male"/>
    <n v="2218175"/>
    <x v="1"/>
    <x v="0"/>
    <s v="A. Sharma"/>
  </r>
  <r>
    <s v="T100596"/>
    <x v="202"/>
    <x v="6"/>
    <x v="20"/>
    <x v="2"/>
    <s v="Karnataka"/>
    <x v="1"/>
    <s v="Interest"/>
    <n v="0"/>
    <n v="0"/>
    <n v="0"/>
    <n v="0"/>
    <n v="933.8"/>
    <x v="376"/>
    <n v="44"/>
    <s v="Male"/>
    <n v="1955182"/>
    <x v="1"/>
    <x v="0"/>
    <s v="S. Kumar"/>
  </r>
  <r>
    <s v="T100597"/>
    <x v="269"/>
    <x v="5"/>
    <x v="252"/>
    <x v="0"/>
    <s v="Delhi"/>
    <x v="2"/>
    <s v="Interest"/>
    <n v="0"/>
    <n v="0"/>
    <n v="0"/>
    <n v="0"/>
    <n v="4297.34"/>
    <x v="42"/>
    <n v="23"/>
    <s v="Male"/>
    <n v="2667924"/>
    <x v="1"/>
    <x v="0"/>
    <s v="P. Singh"/>
  </r>
  <r>
    <s v="T100598"/>
    <x v="199"/>
    <x v="8"/>
    <x v="19"/>
    <x v="5"/>
    <s v="Karnataka"/>
    <x v="2"/>
    <s v="Deposit"/>
    <n v="9684"/>
    <n v="0"/>
    <n v="0"/>
    <n v="0"/>
    <n v="0"/>
    <x v="378"/>
    <n v="24"/>
    <s v="Female"/>
    <n v="1931635"/>
    <x v="0"/>
    <x v="0"/>
    <s v="R. Patel"/>
  </r>
  <r>
    <s v="T100599"/>
    <x v="99"/>
    <x v="2"/>
    <x v="57"/>
    <x v="5"/>
    <s v="Delhi"/>
    <x v="0"/>
    <s v="Loan"/>
    <n v="0"/>
    <n v="0"/>
    <n v="1484395"/>
    <n v="0"/>
    <n v="0"/>
    <x v="36"/>
    <n v="32"/>
    <s v="Male"/>
    <n v="1472872"/>
    <x v="0"/>
    <x v="2"/>
    <s v="S. Kumar"/>
  </r>
  <r>
    <s v="T100600"/>
    <x v="279"/>
    <x v="11"/>
    <x v="142"/>
    <x v="3"/>
    <s v="Telangana"/>
    <x v="1"/>
    <s v="Deposit"/>
    <n v="14128"/>
    <n v="0"/>
    <n v="0"/>
    <n v="0"/>
    <n v="0"/>
    <x v="306"/>
    <n v="44"/>
    <s v="Female"/>
    <n v="727004"/>
    <x v="1"/>
    <x v="0"/>
    <s v="A. Sharma"/>
  </r>
  <r>
    <s v="T100601"/>
    <x v="159"/>
    <x v="5"/>
    <x v="115"/>
    <x v="4"/>
    <s v="Tamil Nadu"/>
    <x v="2"/>
    <s v="Loan"/>
    <n v="0"/>
    <n v="0"/>
    <n v="1655053"/>
    <n v="0"/>
    <n v="0"/>
    <x v="257"/>
    <n v="66"/>
    <s v="Male"/>
    <n v="2816328"/>
    <x v="0"/>
    <x v="2"/>
    <s v="R. Patel"/>
  </r>
  <r>
    <s v="T100602"/>
    <x v="293"/>
    <x v="3"/>
    <x v="98"/>
    <x v="2"/>
    <s v="Delhi"/>
    <x v="2"/>
    <s v="EMI"/>
    <n v="0"/>
    <n v="0"/>
    <n v="0"/>
    <n v="26165"/>
    <n v="0"/>
    <x v="379"/>
    <n v="23"/>
    <s v="Male"/>
    <n v="1212355"/>
    <x v="0"/>
    <x v="4"/>
    <s v="S. Kumar"/>
  </r>
  <r>
    <s v="T100603"/>
    <x v="253"/>
    <x v="8"/>
    <x v="192"/>
    <x v="3"/>
    <s v="Tamil Nadu"/>
    <x v="3"/>
    <s v="EMI"/>
    <n v="0"/>
    <n v="0"/>
    <n v="0"/>
    <n v="9621"/>
    <n v="0"/>
    <x v="53"/>
    <n v="39"/>
    <s v="Male"/>
    <n v="1126231"/>
    <x v="1"/>
    <x v="3"/>
    <s v="R. Patel"/>
  </r>
  <r>
    <s v="T100605"/>
    <x v="128"/>
    <x v="9"/>
    <x v="149"/>
    <x v="4"/>
    <s v="Delhi"/>
    <x v="1"/>
    <s v="Loan"/>
    <n v="0"/>
    <n v="0"/>
    <n v="1336776"/>
    <n v="0"/>
    <n v="0"/>
    <x v="284"/>
    <n v="40"/>
    <s v="Female"/>
    <n v="802649"/>
    <x v="0"/>
    <x v="2"/>
    <s v="A. Sharma"/>
  </r>
  <r>
    <s v="T100606"/>
    <x v="193"/>
    <x v="3"/>
    <x v="44"/>
    <x v="1"/>
    <s v="Maharashtra"/>
    <x v="2"/>
    <s v="Withdrawal"/>
    <n v="0"/>
    <n v="36886"/>
    <n v="0"/>
    <n v="0"/>
    <n v="0"/>
    <x v="157"/>
    <n v="55"/>
    <s v="Male"/>
    <n v="1179093"/>
    <x v="0"/>
    <x v="0"/>
    <s v="P. Singh"/>
  </r>
  <r>
    <s v="T100608"/>
    <x v="19"/>
    <x v="0"/>
    <x v="253"/>
    <x v="3"/>
    <s v="Tamil Nadu"/>
    <x v="0"/>
    <s v="Withdrawal"/>
    <n v="0"/>
    <n v="73643"/>
    <n v="0"/>
    <n v="0"/>
    <n v="0"/>
    <x v="380"/>
    <n v="24"/>
    <s v="Male"/>
    <n v="252158"/>
    <x v="1"/>
    <x v="0"/>
    <s v="N. Rao"/>
  </r>
  <r>
    <s v="T100609"/>
    <x v="63"/>
    <x v="10"/>
    <x v="142"/>
    <x v="3"/>
    <s v="Karnataka"/>
    <x v="2"/>
    <s v="EMI"/>
    <n v="0"/>
    <n v="0"/>
    <n v="0"/>
    <n v="35820"/>
    <n v="0"/>
    <x v="56"/>
    <n v="61"/>
    <s v="Male"/>
    <n v="2063902"/>
    <x v="0"/>
    <x v="1"/>
    <s v="N. Rao"/>
  </r>
  <r>
    <s v="T100610"/>
    <x v="151"/>
    <x v="5"/>
    <x v="254"/>
    <x v="2"/>
    <s v="Tamil Nadu"/>
    <x v="3"/>
    <s v="Deposit"/>
    <n v="77820"/>
    <n v="0"/>
    <n v="0"/>
    <n v="0"/>
    <n v="0"/>
    <x v="381"/>
    <n v="52"/>
    <s v="Female"/>
    <n v="2199366"/>
    <x v="1"/>
    <x v="0"/>
    <s v="P. Singh"/>
  </r>
  <r>
    <s v="T100611"/>
    <x v="156"/>
    <x v="6"/>
    <x v="241"/>
    <x v="3"/>
    <s v="Karnataka"/>
    <x v="3"/>
    <s v="Withdrawal"/>
    <n v="0"/>
    <n v="22312"/>
    <n v="0"/>
    <n v="0"/>
    <n v="0"/>
    <x v="382"/>
    <n v="34"/>
    <s v="Female"/>
    <n v="2943449"/>
    <x v="0"/>
    <x v="0"/>
    <s v="P. Singh"/>
  </r>
  <r>
    <s v="T100612"/>
    <x v="68"/>
    <x v="9"/>
    <x v="107"/>
    <x v="6"/>
    <s v="Maharashtra"/>
    <x v="1"/>
    <s v="Loan"/>
    <n v="0"/>
    <n v="0"/>
    <n v="485629"/>
    <n v="0"/>
    <n v="0"/>
    <x v="114"/>
    <n v="64"/>
    <s v="Female"/>
    <n v="1776223"/>
    <x v="0"/>
    <x v="1"/>
    <s v="A. Sharma"/>
  </r>
  <r>
    <s v="T100613"/>
    <x v="30"/>
    <x v="0"/>
    <x v="224"/>
    <x v="0"/>
    <s v="Delhi"/>
    <x v="0"/>
    <s v="Interest"/>
    <n v="0"/>
    <n v="0"/>
    <n v="0"/>
    <n v="0"/>
    <n v="9161.8799999999992"/>
    <x v="340"/>
    <n v="38"/>
    <s v="Male"/>
    <n v="2468546"/>
    <x v="1"/>
    <x v="0"/>
    <s v="S. Kumar"/>
  </r>
  <r>
    <s v="T100614"/>
    <x v="12"/>
    <x v="1"/>
    <x v="27"/>
    <x v="1"/>
    <s v="Maharashtra"/>
    <x v="0"/>
    <s v="Withdrawal"/>
    <n v="0"/>
    <n v="95691"/>
    <n v="0"/>
    <n v="0"/>
    <n v="0"/>
    <x v="62"/>
    <n v="47"/>
    <s v="Male"/>
    <n v="491930"/>
    <x v="0"/>
    <x v="0"/>
    <s v="A. Sharma"/>
  </r>
  <r>
    <s v="T100615"/>
    <x v="208"/>
    <x v="2"/>
    <x v="48"/>
    <x v="0"/>
    <s v="Maharashtra"/>
    <x v="3"/>
    <s v="Deposit"/>
    <n v="45310"/>
    <n v="0"/>
    <n v="0"/>
    <n v="0"/>
    <n v="0"/>
    <x v="221"/>
    <n v="62"/>
    <s v="Female"/>
    <n v="217092"/>
    <x v="1"/>
    <x v="0"/>
    <s v="P. Singh"/>
  </r>
  <r>
    <s v="T100616"/>
    <x v="237"/>
    <x v="0"/>
    <x v="186"/>
    <x v="3"/>
    <s v="Telangana"/>
    <x v="1"/>
    <s v="Loan"/>
    <n v="0"/>
    <n v="0"/>
    <n v="98409"/>
    <n v="0"/>
    <n v="0"/>
    <x v="383"/>
    <n v="57"/>
    <s v="Female"/>
    <n v="2373880"/>
    <x v="1"/>
    <x v="1"/>
    <s v="P. Singh"/>
  </r>
  <r>
    <s v="T100617"/>
    <x v="85"/>
    <x v="4"/>
    <x v="76"/>
    <x v="4"/>
    <s v="Telangana"/>
    <x v="1"/>
    <s v="EMI"/>
    <n v="0"/>
    <n v="0"/>
    <n v="0"/>
    <n v="35627"/>
    <n v="0"/>
    <x v="145"/>
    <n v="64"/>
    <s v="Male"/>
    <n v="2593014"/>
    <x v="1"/>
    <x v="1"/>
    <s v="S. Kumar"/>
  </r>
  <r>
    <s v="T100618"/>
    <x v="44"/>
    <x v="9"/>
    <x v="255"/>
    <x v="4"/>
    <s v="Tamil Nadu"/>
    <x v="0"/>
    <s v="Loan"/>
    <n v="0"/>
    <n v="0"/>
    <n v="1341867"/>
    <n v="0"/>
    <n v="0"/>
    <x v="384"/>
    <n v="48"/>
    <s v="Female"/>
    <n v="1175244"/>
    <x v="1"/>
    <x v="2"/>
    <s v="N. Rao"/>
  </r>
  <r>
    <s v="T100619"/>
    <x v="294"/>
    <x v="10"/>
    <x v="232"/>
    <x v="1"/>
    <s v="Maharashtra"/>
    <x v="3"/>
    <s v="EMI"/>
    <n v="0"/>
    <n v="0"/>
    <n v="0"/>
    <n v="11939"/>
    <n v="0"/>
    <x v="385"/>
    <n v="54"/>
    <s v="Male"/>
    <n v="928974"/>
    <x v="0"/>
    <x v="3"/>
    <s v="P. Singh"/>
  </r>
  <r>
    <s v="T100620"/>
    <x v="261"/>
    <x v="10"/>
    <x v="168"/>
    <x v="3"/>
    <s v="Telangana"/>
    <x v="1"/>
    <s v="Deposit"/>
    <n v="112803"/>
    <n v="0"/>
    <n v="0"/>
    <n v="0"/>
    <n v="0"/>
    <x v="309"/>
    <n v="47"/>
    <s v="Male"/>
    <n v="2671349"/>
    <x v="1"/>
    <x v="0"/>
    <s v="A. Sharma"/>
  </r>
  <r>
    <s v="T100621"/>
    <x v="10"/>
    <x v="8"/>
    <x v="29"/>
    <x v="5"/>
    <s v="Maharashtra"/>
    <x v="2"/>
    <s v="Loan"/>
    <n v="0"/>
    <n v="0"/>
    <n v="1889983"/>
    <n v="0"/>
    <n v="0"/>
    <x v="308"/>
    <n v="62"/>
    <s v="Male"/>
    <n v="2712632"/>
    <x v="1"/>
    <x v="1"/>
    <s v="N. Rao"/>
  </r>
  <r>
    <s v="T100622"/>
    <x v="97"/>
    <x v="5"/>
    <x v="45"/>
    <x v="3"/>
    <s v="Telangana"/>
    <x v="0"/>
    <s v="Withdrawal"/>
    <n v="0"/>
    <n v="40559"/>
    <n v="0"/>
    <n v="0"/>
    <n v="0"/>
    <x v="243"/>
    <n v="19"/>
    <s v="Female"/>
    <n v="2310131"/>
    <x v="0"/>
    <x v="0"/>
    <s v="R. Patel"/>
  </r>
  <r>
    <s v="T100623"/>
    <x v="295"/>
    <x v="5"/>
    <x v="235"/>
    <x v="2"/>
    <s v="Telangana"/>
    <x v="1"/>
    <s v="Interest"/>
    <n v="0"/>
    <n v="0"/>
    <n v="0"/>
    <n v="0"/>
    <n v="3417.1"/>
    <x v="233"/>
    <n v="48"/>
    <s v="Female"/>
    <n v="700398"/>
    <x v="0"/>
    <x v="0"/>
    <s v="A. Sharma"/>
  </r>
  <r>
    <s v="T100624"/>
    <x v="296"/>
    <x v="11"/>
    <x v="255"/>
    <x v="1"/>
    <s v="Tamil Nadu"/>
    <x v="2"/>
    <s v="Deposit"/>
    <n v="158821"/>
    <n v="0"/>
    <n v="0"/>
    <n v="0"/>
    <n v="0"/>
    <x v="386"/>
    <n v="69"/>
    <s v="Male"/>
    <n v="454596"/>
    <x v="1"/>
    <x v="0"/>
    <s v="N. Rao"/>
  </r>
  <r>
    <s v="T100625"/>
    <x v="267"/>
    <x v="9"/>
    <x v="133"/>
    <x v="2"/>
    <s v="Delhi"/>
    <x v="1"/>
    <s v="Deposit"/>
    <n v="64915"/>
    <n v="0"/>
    <n v="0"/>
    <n v="0"/>
    <n v="0"/>
    <x v="375"/>
    <n v="36"/>
    <s v="Male"/>
    <n v="1608394"/>
    <x v="1"/>
    <x v="0"/>
    <s v="A. Sharma"/>
  </r>
  <r>
    <s v="T100626"/>
    <x v="136"/>
    <x v="11"/>
    <x v="164"/>
    <x v="5"/>
    <s v="Tamil Nadu"/>
    <x v="1"/>
    <s v="EMI"/>
    <n v="0"/>
    <n v="0"/>
    <n v="0"/>
    <n v="17475"/>
    <n v="0"/>
    <x v="17"/>
    <n v="18"/>
    <s v="Female"/>
    <n v="803800"/>
    <x v="0"/>
    <x v="4"/>
    <s v="R. Patel"/>
  </r>
  <r>
    <s v="T100627"/>
    <x v="112"/>
    <x v="10"/>
    <x v="52"/>
    <x v="0"/>
    <s v="Karnataka"/>
    <x v="2"/>
    <s v="Loan"/>
    <n v="0"/>
    <n v="0"/>
    <n v="1398471"/>
    <n v="0"/>
    <n v="0"/>
    <x v="30"/>
    <n v="68"/>
    <s v="Male"/>
    <n v="1098033"/>
    <x v="1"/>
    <x v="1"/>
    <s v="A. Sharma"/>
  </r>
  <r>
    <s v="T100628"/>
    <x v="282"/>
    <x v="4"/>
    <x v="97"/>
    <x v="5"/>
    <s v="Delhi"/>
    <x v="0"/>
    <s v="EMI"/>
    <n v="0"/>
    <n v="0"/>
    <n v="0"/>
    <n v="18107"/>
    <n v="0"/>
    <x v="308"/>
    <n v="50"/>
    <s v="Male"/>
    <n v="1232405"/>
    <x v="1"/>
    <x v="3"/>
    <s v="N. Rao"/>
  </r>
  <r>
    <s v="T100629"/>
    <x v="109"/>
    <x v="8"/>
    <x v="116"/>
    <x v="2"/>
    <s v="Telangana"/>
    <x v="0"/>
    <s v="Loan"/>
    <n v="0"/>
    <n v="0"/>
    <n v="1359538"/>
    <n v="0"/>
    <n v="0"/>
    <x v="387"/>
    <n v="46"/>
    <s v="Female"/>
    <n v="2110015"/>
    <x v="1"/>
    <x v="1"/>
    <s v="P. Singh"/>
  </r>
  <r>
    <s v="T100630"/>
    <x v="297"/>
    <x v="3"/>
    <x v="85"/>
    <x v="0"/>
    <s v="Karnataka"/>
    <x v="1"/>
    <s v="Deposit"/>
    <n v="105469"/>
    <n v="0"/>
    <n v="0"/>
    <n v="0"/>
    <n v="0"/>
    <x v="133"/>
    <n v="26"/>
    <s v="Female"/>
    <n v="426212"/>
    <x v="0"/>
    <x v="0"/>
    <s v="R. Patel"/>
  </r>
  <r>
    <s v="T100631"/>
    <x v="10"/>
    <x v="8"/>
    <x v="164"/>
    <x v="5"/>
    <s v="Tamil Nadu"/>
    <x v="0"/>
    <s v="Interest"/>
    <n v="0"/>
    <n v="0"/>
    <n v="0"/>
    <n v="0"/>
    <n v="283.29000000000002"/>
    <x v="199"/>
    <n v="53"/>
    <s v="Male"/>
    <n v="1991142"/>
    <x v="1"/>
    <x v="0"/>
    <s v="N. Rao"/>
  </r>
  <r>
    <s v="T100632"/>
    <x v="224"/>
    <x v="3"/>
    <x v="214"/>
    <x v="5"/>
    <s v="Maharashtra"/>
    <x v="1"/>
    <s v="Withdrawal"/>
    <n v="0"/>
    <n v="76031"/>
    <n v="0"/>
    <n v="0"/>
    <n v="0"/>
    <x v="137"/>
    <n v="61"/>
    <s v="Male"/>
    <n v="1045647"/>
    <x v="0"/>
    <x v="0"/>
    <s v="A. Sharma"/>
  </r>
  <r>
    <s v="T100633"/>
    <x v="102"/>
    <x v="6"/>
    <x v="112"/>
    <x v="1"/>
    <s v="Telangana"/>
    <x v="0"/>
    <s v="Loan"/>
    <n v="0"/>
    <n v="0"/>
    <n v="1585706"/>
    <n v="0"/>
    <n v="0"/>
    <x v="388"/>
    <n v="30"/>
    <s v="Female"/>
    <n v="1980652"/>
    <x v="1"/>
    <x v="1"/>
    <s v="N. Rao"/>
  </r>
  <r>
    <s v="T100634"/>
    <x v="40"/>
    <x v="10"/>
    <x v="256"/>
    <x v="2"/>
    <s v="Delhi"/>
    <x v="2"/>
    <s v="Loan"/>
    <n v="0"/>
    <n v="0"/>
    <n v="819696"/>
    <n v="0"/>
    <n v="0"/>
    <x v="123"/>
    <n v="23"/>
    <s v="Female"/>
    <n v="2729404"/>
    <x v="1"/>
    <x v="1"/>
    <s v="R. Patel"/>
  </r>
  <r>
    <s v="T100635"/>
    <x v="252"/>
    <x v="5"/>
    <x v="107"/>
    <x v="2"/>
    <s v="Maharashtra"/>
    <x v="0"/>
    <s v="Loan"/>
    <n v="0"/>
    <n v="0"/>
    <n v="560639"/>
    <n v="0"/>
    <n v="0"/>
    <x v="27"/>
    <n v="36"/>
    <s v="Male"/>
    <n v="2022646"/>
    <x v="1"/>
    <x v="2"/>
    <s v="N. Rao"/>
  </r>
  <r>
    <s v="T100636"/>
    <x v="255"/>
    <x v="7"/>
    <x v="94"/>
    <x v="1"/>
    <s v="Delhi"/>
    <x v="2"/>
    <s v="Loan"/>
    <n v="0"/>
    <n v="0"/>
    <n v="1453269"/>
    <n v="0"/>
    <n v="0"/>
    <x v="312"/>
    <n v="34"/>
    <s v="Male"/>
    <n v="204331"/>
    <x v="1"/>
    <x v="2"/>
    <s v="R. Patel"/>
  </r>
  <r>
    <s v="T100637"/>
    <x v="290"/>
    <x v="4"/>
    <x v="48"/>
    <x v="0"/>
    <s v="Delhi"/>
    <x v="3"/>
    <s v="Deposit"/>
    <n v="26478"/>
    <n v="0"/>
    <n v="0"/>
    <n v="0"/>
    <n v="0"/>
    <x v="389"/>
    <n v="36"/>
    <s v="Female"/>
    <n v="1351091"/>
    <x v="1"/>
    <x v="0"/>
    <s v="P. Singh"/>
  </r>
  <r>
    <s v="T100638"/>
    <x v="191"/>
    <x v="9"/>
    <x v="218"/>
    <x v="4"/>
    <s v="Delhi"/>
    <x v="2"/>
    <s v="Withdrawal"/>
    <n v="0"/>
    <n v="19017"/>
    <n v="0"/>
    <n v="0"/>
    <n v="0"/>
    <x v="275"/>
    <n v="65"/>
    <s v="Male"/>
    <n v="1103931"/>
    <x v="0"/>
    <x v="0"/>
    <s v="S. Kumar"/>
  </r>
  <r>
    <s v="T100639"/>
    <x v="298"/>
    <x v="10"/>
    <x v="95"/>
    <x v="1"/>
    <s v="Telangana"/>
    <x v="0"/>
    <s v="Loan"/>
    <n v="0"/>
    <n v="0"/>
    <n v="825900"/>
    <n v="0"/>
    <n v="0"/>
    <x v="82"/>
    <n v="27"/>
    <s v="Female"/>
    <n v="1698962"/>
    <x v="1"/>
    <x v="1"/>
    <s v="N. Rao"/>
  </r>
  <r>
    <s v="T100640"/>
    <x v="183"/>
    <x v="4"/>
    <x v="91"/>
    <x v="5"/>
    <s v="Maharashtra"/>
    <x v="3"/>
    <s v="Loan"/>
    <n v="0"/>
    <n v="0"/>
    <n v="651298"/>
    <n v="0"/>
    <n v="0"/>
    <x v="390"/>
    <n v="40"/>
    <s v="Female"/>
    <n v="653613"/>
    <x v="1"/>
    <x v="1"/>
    <s v="R. Patel"/>
  </r>
  <r>
    <s v="T100641"/>
    <x v="156"/>
    <x v="6"/>
    <x v="148"/>
    <x v="0"/>
    <s v="Telangana"/>
    <x v="0"/>
    <s v="Loan"/>
    <n v="0"/>
    <n v="0"/>
    <n v="782373"/>
    <n v="0"/>
    <n v="0"/>
    <x v="87"/>
    <n v="27"/>
    <s v="Female"/>
    <n v="2689097"/>
    <x v="0"/>
    <x v="2"/>
    <s v="S. Kumar"/>
  </r>
  <r>
    <s v="T100642"/>
    <x v="172"/>
    <x v="6"/>
    <x v="201"/>
    <x v="5"/>
    <s v="Tamil Nadu"/>
    <x v="0"/>
    <s v="Loan"/>
    <n v="0"/>
    <n v="0"/>
    <n v="1737331"/>
    <n v="0"/>
    <n v="0"/>
    <x v="391"/>
    <n v="54"/>
    <s v="Male"/>
    <n v="2415418"/>
    <x v="0"/>
    <x v="1"/>
    <s v="A. Sharma"/>
  </r>
  <r>
    <s v="T100643"/>
    <x v="142"/>
    <x v="9"/>
    <x v="149"/>
    <x v="3"/>
    <s v="Delhi"/>
    <x v="3"/>
    <s v="Withdrawal"/>
    <n v="0"/>
    <n v="87828"/>
    <n v="0"/>
    <n v="0"/>
    <n v="0"/>
    <x v="235"/>
    <n v="47"/>
    <s v="Male"/>
    <n v="2930082"/>
    <x v="1"/>
    <x v="0"/>
    <s v="P. Singh"/>
  </r>
  <r>
    <s v="T100644"/>
    <x v="152"/>
    <x v="3"/>
    <x v="16"/>
    <x v="0"/>
    <s v="Telangana"/>
    <x v="0"/>
    <s v="Withdrawal"/>
    <n v="0"/>
    <n v="75943"/>
    <n v="0"/>
    <n v="0"/>
    <n v="0"/>
    <x v="123"/>
    <n v="28"/>
    <s v="Male"/>
    <n v="1888366"/>
    <x v="0"/>
    <x v="0"/>
    <s v="N. Rao"/>
  </r>
  <r>
    <s v="T100645"/>
    <x v="83"/>
    <x v="11"/>
    <x v="157"/>
    <x v="2"/>
    <s v="Tamil Nadu"/>
    <x v="0"/>
    <s v="Loan"/>
    <n v="0"/>
    <n v="0"/>
    <n v="359384"/>
    <n v="0"/>
    <n v="0"/>
    <x v="392"/>
    <n v="48"/>
    <s v="Male"/>
    <n v="2826298"/>
    <x v="0"/>
    <x v="1"/>
    <s v="S. Kumar"/>
  </r>
  <r>
    <s v="T100646"/>
    <x v="202"/>
    <x v="6"/>
    <x v="190"/>
    <x v="4"/>
    <s v="Karnataka"/>
    <x v="2"/>
    <s v="Withdrawal"/>
    <n v="0"/>
    <n v="26742"/>
    <n v="0"/>
    <n v="0"/>
    <n v="0"/>
    <x v="393"/>
    <n v="29"/>
    <s v="Female"/>
    <n v="1013516"/>
    <x v="1"/>
    <x v="0"/>
    <s v="S. Kumar"/>
  </r>
  <r>
    <s v="T100647"/>
    <x v="198"/>
    <x v="8"/>
    <x v="257"/>
    <x v="2"/>
    <s v="Tamil Nadu"/>
    <x v="3"/>
    <s v="EMI"/>
    <n v="0"/>
    <n v="0"/>
    <n v="0"/>
    <n v="20102"/>
    <n v="0"/>
    <x v="378"/>
    <n v="62"/>
    <s v="Female"/>
    <n v="2182892"/>
    <x v="1"/>
    <x v="1"/>
    <s v="N. Rao"/>
  </r>
  <r>
    <s v="T100648"/>
    <x v="25"/>
    <x v="4"/>
    <x v="200"/>
    <x v="3"/>
    <s v="Delhi"/>
    <x v="3"/>
    <s v="Interest"/>
    <n v="0"/>
    <n v="0"/>
    <n v="0"/>
    <n v="0"/>
    <n v="5654.18"/>
    <x v="394"/>
    <n v="40"/>
    <s v="Male"/>
    <n v="2623726"/>
    <x v="1"/>
    <x v="0"/>
    <s v="S. Kumar"/>
  </r>
  <r>
    <s v="T100649"/>
    <x v="230"/>
    <x v="8"/>
    <x v="123"/>
    <x v="0"/>
    <s v="Telangana"/>
    <x v="0"/>
    <s v="Interest"/>
    <n v="0"/>
    <n v="0"/>
    <n v="0"/>
    <n v="0"/>
    <n v="1615.13"/>
    <x v="352"/>
    <n v="49"/>
    <s v="Female"/>
    <n v="1820710"/>
    <x v="1"/>
    <x v="0"/>
    <s v="N. Rao"/>
  </r>
  <r>
    <s v="T100651"/>
    <x v="245"/>
    <x v="0"/>
    <x v="175"/>
    <x v="4"/>
    <s v="Karnataka"/>
    <x v="0"/>
    <s v="EMI"/>
    <n v="0"/>
    <n v="0"/>
    <n v="0"/>
    <n v="29387"/>
    <n v="0"/>
    <x v="258"/>
    <n v="27"/>
    <s v="Male"/>
    <n v="1569968"/>
    <x v="1"/>
    <x v="1"/>
    <s v="N. Rao"/>
  </r>
  <r>
    <s v="T100652"/>
    <x v="119"/>
    <x v="1"/>
    <x v="126"/>
    <x v="3"/>
    <s v="Delhi"/>
    <x v="0"/>
    <s v="Loan"/>
    <n v="0"/>
    <n v="0"/>
    <n v="925469"/>
    <n v="0"/>
    <n v="0"/>
    <x v="182"/>
    <n v="49"/>
    <s v="Female"/>
    <n v="2043049"/>
    <x v="0"/>
    <x v="1"/>
    <s v="A. Sharma"/>
  </r>
  <r>
    <s v="T100653"/>
    <x v="221"/>
    <x v="1"/>
    <x v="235"/>
    <x v="0"/>
    <s v="Telangana"/>
    <x v="0"/>
    <s v="EMI"/>
    <n v="0"/>
    <n v="0"/>
    <n v="0"/>
    <n v="19822"/>
    <n v="0"/>
    <x v="395"/>
    <n v="36"/>
    <s v="Male"/>
    <n v="1608982"/>
    <x v="1"/>
    <x v="4"/>
    <s v="S. Kumar"/>
  </r>
  <r>
    <s v="T100654"/>
    <x v="299"/>
    <x v="7"/>
    <x v="223"/>
    <x v="1"/>
    <s v="Tamil Nadu"/>
    <x v="0"/>
    <s v="Interest"/>
    <n v="0"/>
    <n v="0"/>
    <n v="0"/>
    <n v="0"/>
    <n v="2811.91"/>
    <x v="313"/>
    <n v="44"/>
    <s v="Male"/>
    <n v="1174338"/>
    <x v="1"/>
    <x v="0"/>
    <s v="R. Patel"/>
  </r>
  <r>
    <s v="T100655"/>
    <x v="300"/>
    <x v="3"/>
    <x v="46"/>
    <x v="4"/>
    <s v="Telangana"/>
    <x v="0"/>
    <s v="EMI"/>
    <n v="0"/>
    <n v="0"/>
    <n v="0"/>
    <n v="38842"/>
    <n v="0"/>
    <x v="113"/>
    <n v="43"/>
    <s v="Female"/>
    <n v="2685561"/>
    <x v="1"/>
    <x v="3"/>
    <s v="S. Kumar"/>
  </r>
  <r>
    <s v="T100656"/>
    <x v="301"/>
    <x v="5"/>
    <x v="83"/>
    <x v="1"/>
    <s v="Telangana"/>
    <x v="2"/>
    <s v="Deposit"/>
    <n v="110969"/>
    <n v="0"/>
    <n v="0"/>
    <n v="0"/>
    <n v="0"/>
    <x v="143"/>
    <n v="33"/>
    <s v="Male"/>
    <n v="2450615"/>
    <x v="1"/>
    <x v="0"/>
    <s v="S. Kumar"/>
  </r>
  <r>
    <s v="T100657"/>
    <x v="213"/>
    <x v="3"/>
    <x v="127"/>
    <x v="4"/>
    <s v="Maharashtra"/>
    <x v="3"/>
    <s v="Interest"/>
    <n v="0"/>
    <n v="0"/>
    <n v="0"/>
    <n v="0"/>
    <n v="9971.61"/>
    <x v="396"/>
    <n v="56"/>
    <s v="Female"/>
    <n v="1911517"/>
    <x v="1"/>
    <x v="0"/>
    <s v="R. Patel"/>
  </r>
  <r>
    <s v="T100658"/>
    <x v="239"/>
    <x v="11"/>
    <x v="140"/>
    <x v="3"/>
    <s v="Maharashtra"/>
    <x v="2"/>
    <s v="Deposit"/>
    <n v="81224"/>
    <n v="0"/>
    <n v="0"/>
    <n v="0"/>
    <n v="0"/>
    <x v="249"/>
    <n v="27"/>
    <s v="Female"/>
    <n v="1903799"/>
    <x v="1"/>
    <x v="0"/>
    <s v="A. Sharma"/>
  </r>
  <r>
    <s v="T100659"/>
    <x v="120"/>
    <x v="6"/>
    <x v="129"/>
    <x v="4"/>
    <s v="Tamil Nadu"/>
    <x v="0"/>
    <s v="Deposit"/>
    <n v="149565"/>
    <n v="0"/>
    <n v="0"/>
    <n v="0"/>
    <n v="0"/>
    <x v="351"/>
    <n v="33"/>
    <s v="Female"/>
    <n v="2698866"/>
    <x v="0"/>
    <x v="0"/>
    <s v="S. Kumar"/>
  </r>
  <r>
    <s v="T100660"/>
    <x v="191"/>
    <x v="9"/>
    <x v="227"/>
    <x v="2"/>
    <s v="Delhi"/>
    <x v="2"/>
    <s v="Deposit"/>
    <n v="139851"/>
    <n v="0"/>
    <n v="0"/>
    <n v="0"/>
    <n v="0"/>
    <x v="397"/>
    <n v="56"/>
    <s v="Female"/>
    <n v="2912250"/>
    <x v="0"/>
    <x v="0"/>
    <s v="P. Singh"/>
  </r>
  <r>
    <s v="T100661"/>
    <x v="170"/>
    <x v="9"/>
    <x v="8"/>
    <x v="5"/>
    <s v="Maharashtra"/>
    <x v="0"/>
    <s v="Withdrawal"/>
    <n v="0"/>
    <n v="79657"/>
    <n v="0"/>
    <n v="0"/>
    <n v="0"/>
    <x v="398"/>
    <n v="34"/>
    <s v="Female"/>
    <n v="1456855"/>
    <x v="1"/>
    <x v="0"/>
    <s v="N. Rao"/>
  </r>
  <r>
    <s v="T100662"/>
    <x v="251"/>
    <x v="3"/>
    <x v="70"/>
    <x v="5"/>
    <s v="Maharashtra"/>
    <x v="1"/>
    <s v="EMI"/>
    <n v="0"/>
    <n v="0"/>
    <n v="0"/>
    <n v="18504"/>
    <n v="0"/>
    <x v="399"/>
    <n v="18"/>
    <s v="Male"/>
    <n v="679311"/>
    <x v="0"/>
    <x v="3"/>
    <s v="N. Rao"/>
  </r>
  <r>
    <s v="T100663"/>
    <x v="143"/>
    <x v="5"/>
    <x v="172"/>
    <x v="4"/>
    <s v="Tamil Nadu"/>
    <x v="0"/>
    <s v="Withdrawal"/>
    <n v="0"/>
    <n v="46136"/>
    <n v="0"/>
    <n v="0"/>
    <n v="0"/>
    <x v="400"/>
    <n v="32"/>
    <s v="Male"/>
    <n v="968315"/>
    <x v="1"/>
    <x v="0"/>
    <s v="N. Rao"/>
  </r>
  <r>
    <s v="T100664"/>
    <x v="232"/>
    <x v="6"/>
    <x v="54"/>
    <x v="2"/>
    <s v="Delhi"/>
    <x v="2"/>
    <s v="Loan"/>
    <n v="0"/>
    <n v="0"/>
    <n v="1483492"/>
    <n v="0"/>
    <n v="0"/>
    <x v="348"/>
    <n v="32"/>
    <s v="Female"/>
    <n v="2731487"/>
    <x v="1"/>
    <x v="1"/>
    <s v="S. Kumar"/>
  </r>
  <r>
    <s v="T100665"/>
    <x v="284"/>
    <x v="2"/>
    <x v="17"/>
    <x v="1"/>
    <s v="Delhi"/>
    <x v="2"/>
    <s v="Interest"/>
    <n v="0"/>
    <n v="0"/>
    <n v="0"/>
    <n v="0"/>
    <n v="7259.65"/>
    <x v="401"/>
    <n v="58"/>
    <s v="Female"/>
    <n v="1063480"/>
    <x v="1"/>
    <x v="0"/>
    <s v="P. Singh"/>
  </r>
  <r>
    <s v="T100666"/>
    <x v="96"/>
    <x v="10"/>
    <x v="111"/>
    <x v="2"/>
    <s v="Delhi"/>
    <x v="0"/>
    <s v="Withdrawal"/>
    <n v="0"/>
    <n v="76428"/>
    <n v="0"/>
    <n v="0"/>
    <n v="0"/>
    <x v="70"/>
    <n v="48"/>
    <s v="Male"/>
    <n v="2355026"/>
    <x v="0"/>
    <x v="0"/>
    <s v="S. Kumar"/>
  </r>
  <r>
    <s v="T100667"/>
    <x v="213"/>
    <x v="3"/>
    <x v="244"/>
    <x v="0"/>
    <s v="Tamil Nadu"/>
    <x v="3"/>
    <s v="Withdrawal"/>
    <n v="0"/>
    <n v="52691"/>
    <n v="0"/>
    <n v="0"/>
    <n v="0"/>
    <x v="50"/>
    <n v="19"/>
    <s v="Male"/>
    <n v="465418"/>
    <x v="1"/>
    <x v="0"/>
    <s v="A. Sharma"/>
  </r>
  <r>
    <s v="T100669"/>
    <x v="226"/>
    <x v="8"/>
    <x v="95"/>
    <x v="1"/>
    <s v="Delhi"/>
    <x v="1"/>
    <s v="Withdrawal"/>
    <n v="0"/>
    <n v="81840"/>
    <n v="0"/>
    <n v="0"/>
    <n v="0"/>
    <x v="279"/>
    <n v="43"/>
    <s v="Female"/>
    <n v="636737"/>
    <x v="1"/>
    <x v="0"/>
    <s v="R. Patel"/>
  </r>
  <r>
    <s v="T100670"/>
    <x v="108"/>
    <x v="2"/>
    <x v="48"/>
    <x v="0"/>
    <s v="Tamil Nadu"/>
    <x v="1"/>
    <s v="Loan"/>
    <n v="0"/>
    <n v="0"/>
    <n v="1988300"/>
    <n v="0"/>
    <n v="0"/>
    <x v="132"/>
    <n v="37"/>
    <s v="Female"/>
    <n v="1436427"/>
    <x v="1"/>
    <x v="2"/>
    <s v="R. Patel"/>
  </r>
  <r>
    <s v="T100671"/>
    <x v="157"/>
    <x v="7"/>
    <x v="98"/>
    <x v="3"/>
    <s v="Delhi"/>
    <x v="0"/>
    <s v="Interest"/>
    <n v="0"/>
    <n v="0"/>
    <n v="0"/>
    <n v="0"/>
    <n v="8184.6"/>
    <x v="274"/>
    <n v="50"/>
    <s v="Male"/>
    <n v="536236"/>
    <x v="1"/>
    <x v="0"/>
    <s v="S. Kumar"/>
  </r>
  <r>
    <s v="T100672"/>
    <x v="302"/>
    <x v="10"/>
    <x v="239"/>
    <x v="2"/>
    <s v="Telangana"/>
    <x v="3"/>
    <s v="Loan"/>
    <n v="0"/>
    <n v="0"/>
    <n v="1782967"/>
    <n v="0"/>
    <n v="0"/>
    <x v="402"/>
    <n v="57"/>
    <s v="Female"/>
    <n v="241671"/>
    <x v="1"/>
    <x v="2"/>
    <s v="S. Kumar"/>
  </r>
  <r>
    <s v="T100673"/>
    <x v="303"/>
    <x v="5"/>
    <x v="19"/>
    <x v="3"/>
    <s v="Delhi"/>
    <x v="0"/>
    <s v="EMI"/>
    <n v="0"/>
    <n v="0"/>
    <n v="0"/>
    <n v="34226"/>
    <n v="0"/>
    <x v="123"/>
    <n v="45"/>
    <s v="Female"/>
    <n v="341102"/>
    <x v="0"/>
    <x v="4"/>
    <s v="N. Rao"/>
  </r>
  <r>
    <s v="T100674"/>
    <x v="304"/>
    <x v="11"/>
    <x v="148"/>
    <x v="0"/>
    <s v="Maharashtra"/>
    <x v="3"/>
    <s v="Interest"/>
    <n v="0"/>
    <n v="0"/>
    <n v="0"/>
    <n v="0"/>
    <n v="9715.92"/>
    <x v="176"/>
    <n v="26"/>
    <s v="Female"/>
    <n v="2025785"/>
    <x v="1"/>
    <x v="0"/>
    <s v="P. Singh"/>
  </r>
  <r>
    <s v="T100675"/>
    <x v="169"/>
    <x v="2"/>
    <x v="233"/>
    <x v="1"/>
    <s v="Karnataka"/>
    <x v="3"/>
    <s v="Withdrawal"/>
    <n v="0"/>
    <n v="41731"/>
    <n v="0"/>
    <n v="0"/>
    <n v="0"/>
    <x v="399"/>
    <n v="40"/>
    <s v="Male"/>
    <n v="2109282"/>
    <x v="0"/>
    <x v="0"/>
    <s v="S. Kumar"/>
  </r>
  <r>
    <s v="T100676"/>
    <x v="199"/>
    <x v="8"/>
    <x v="12"/>
    <x v="3"/>
    <s v="Karnataka"/>
    <x v="1"/>
    <s v="Withdrawal"/>
    <n v="0"/>
    <n v="25833"/>
    <n v="0"/>
    <n v="0"/>
    <n v="0"/>
    <x v="198"/>
    <n v="45"/>
    <s v="Female"/>
    <n v="1104661"/>
    <x v="1"/>
    <x v="0"/>
    <s v="P. Singh"/>
  </r>
  <r>
    <s v="T100677"/>
    <x v="18"/>
    <x v="9"/>
    <x v="22"/>
    <x v="0"/>
    <s v="Telangana"/>
    <x v="0"/>
    <s v="Deposit"/>
    <n v="104802"/>
    <n v="0"/>
    <n v="0"/>
    <n v="0"/>
    <n v="0"/>
    <x v="403"/>
    <n v="48"/>
    <s v="Female"/>
    <n v="299788"/>
    <x v="0"/>
    <x v="0"/>
    <s v="A. Sharma"/>
  </r>
  <r>
    <s v="T100678"/>
    <x v="150"/>
    <x v="2"/>
    <x v="249"/>
    <x v="4"/>
    <s v="Telangana"/>
    <x v="1"/>
    <s v="Withdrawal"/>
    <n v="0"/>
    <n v="8682"/>
    <n v="0"/>
    <n v="0"/>
    <n v="0"/>
    <x v="404"/>
    <n v="18"/>
    <s v="Male"/>
    <n v="2587601"/>
    <x v="1"/>
    <x v="0"/>
    <s v="S. Kumar"/>
  </r>
  <r>
    <s v="T100679"/>
    <x v="185"/>
    <x v="11"/>
    <x v="256"/>
    <x v="5"/>
    <s v="Telangana"/>
    <x v="1"/>
    <s v="Loan"/>
    <n v="0"/>
    <n v="0"/>
    <n v="330342"/>
    <n v="0"/>
    <n v="0"/>
    <x v="154"/>
    <n v="70"/>
    <s v="Female"/>
    <n v="760332"/>
    <x v="0"/>
    <x v="1"/>
    <s v="S. Kumar"/>
  </r>
  <r>
    <s v="T100680"/>
    <x v="277"/>
    <x v="1"/>
    <x v="258"/>
    <x v="1"/>
    <s v="Maharashtra"/>
    <x v="3"/>
    <s v="Deposit"/>
    <n v="177149"/>
    <n v="0"/>
    <n v="0"/>
    <n v="0"/>
    <n v="0"/>
    <x v="397"/>
    <n v="25"/>
    <s v="Female"/>
    <n v="777387"/>
    <x v="1"/>
    <x v="0"/>
    <s v="P. Singh"/>
  </r>
  <r>
    <s v="T100682"/>
    <x v="63"/>
    <x v="10"/>
    <x v="44"/>
    <x v="3"/>
    <s v="Karnataka"/>
    <x v="2"/>
    <s v="Deposit"/>
    <n v="97266"/>
    <n v="0"/>
    <n v="0"/>
    <n v="0"/>
    <n v="0"/>
    <x v="176"/>
    <n v="34"/>
    <s v="Male"/>
    <n v="797954"/>
    <x v="0"/>
    <x v="0"/>
    <s v="A. Sharma"/>
  </r>
  <r>
    <s v="T100683"/>
    <x v="258"/>
    <x v="2"/>
    <x v="37"/>
    <x v="1"/>
    <s v="Telangana"/>
    <x v="0"/>
    <s v="Loan"/>
    <n v="0"/>
    <n v="0"/>
    <n v="1126470"/>
    <n v="0"/>
    <n v="0"/>
    <x v="405"/>
    <n v="66"/>
    <s v="Female"/>
    <n v="1386875"/>
    <x v="0"/>
    <x v="2"/>
    <s v="S. Kumar"/>
  </r>
  <r>
    <s v="T100684"/>
    <x v="95"/>
    <x v="4"/>
    <x v="165"/>
    <x v="5"/>
    <s v="Maharashtra"/>
    <x v="1"/>
    <s v="Withdrawal"/>
    <n v="0"/>
    <n v="78767"/>
    <n v="0"/>
    <n v="0"/>
    <n v="0"/>
    <x v="380"/>
    <n v="34"/>
    <s v="Male"/>
    <n v="2068173"/>
    <x v="1"/>
    <x v="0"/>
    <s v="N. Rao"/>
  </r>
  <r>
    <s v="T100685"/>
    <x v="46"/>
    <x v="8"/>
    <x v="69"/>
    <x v="5"/>
    <s v="Delhi"/>
    <x v="1"/>
    <s v="Deposit"/>
    <n v="114617"/>
    <n v="0"/>
    <n v="0"/>
    <n v="0"/>
    <n v="0"/>
    <x v="406"/>
    <n v="19"/>
    <s v="Male"/>
    <n v="1314947"/>
    <x v="0"/>
    <x v="0"/>
    <s v="P. Singh"/>
  </r>
  <r>
    <s v="T100686"/>
    <x v="305"/>
    <x v="8"/>
    <x v="259"/>
    <x v="0"/>
    <s v="Karnataka"/>
    <x v="1"/>
    <s v="EMI"/>
    <n v="0"/>
    <n v="0"/>
    <n v="0"/>
    <n v="18733"/>
    <n v="0"/>
    <x v="407"/>
    <n v="39"/>
    <s v="Female"/>
    <n v="237236"/>
    <x v="1"/>
    <x v="1"/>
    <s v="S. Kumar"/>
  </r>
  <r>
    <s v="T100687"/>
    <x v="70"/>
    <x v="6"/>
    <x v="260"/>
    <x v="0"/>
    <s v="Delhi"/>
    <x v="2"/>
    <s v="Loan"/>
    <n v="0"/>
    <n v="0"/>
    <n v="103389"/>
    <n v="0"/>
    <n v="0"/>
    <x v="264"/>
    <n v="19"/>
    <s v="Male"/>
    <n v="1183314"/>
    <x v="1"/>
    <x v="1"/>
    <s v="S. Kumar"/>
  </r>
  <r>
    <s v="T100688"/>
    <x v="194"/>
    <x v="9"/>
    <x v="189"/>
    <x v="2"/>
    <s v="Tamil Nadu"/>
    <x v="2"/>
    <s v="Loan"/>
    <n v="0"/>
    <n v="0"/>
    <n v="636578"/>
    <n v="0"/>
    <n v="0"/>
    <x v="116"/>
    <n v="30"/>
    <s v="Female"/>
    <n v="521844"/>
    <x v="0"/>
    <x v="2"/>
    <s v="P. Singh"/>
  </r>
  <r>
    <s v="T100689"/>
    <x v="306"/>
    <x v="6"/>
    <x v="82"/>
    <x v="6"/>
    <s v="Telangana"/>
    <x v="0"/>
    <s v="Deposit"/>
    <n v="78306"/>
    <n v="0"/>
    <n v="0"/>
    <n v="0"/>
    <n v="0"/>
    <x v="357"/>
    <n v="67"/>
    <s v="Male"/>
    <n v="1102184"/>
    <x v="0"/>
    <x v="0"/>
    <s v="P. Singh"/>
  </r>
  <r>
    <s v="T100690"/>
    <x v="170"/>
    <x v="9"/>
    <x v="261"/>
    <x v="0"/>
    <s v="Telangana"/>
    <x v="2"/>
    <s v="EMI"/>
    <n v="0"/>
    <n v="0"/>
    <n v="0"/>
    <n v="45548"/>
    <n v="0"/>
    <x v="236"/>
    <n v="64"/>
    <s v="Female"/>
    <n v="1153101"/>
    <x v="0"/>
    <x v="1"/>
    <s v="P. Singh"/>
  </r>
  <r>
    <s v="T100691"/>
    <x v="150"/>
    <x v="2"/>
    <x v="169"/>
    <x v="4"/>
    <s v="Tamil Nadu"/>
    <x v="2"/>
    <s v="Interest"/>
    <n v="0"/>
    <n v="0"/>
    <n v="0"/>
    <n v="0"/>
    <n v="6928.93"/>
    <x v="408"/>
    <n v="62"/>
    <s v="Male"/>
    <n v="711790"/>
    <x v="1"/>
    <x v="0"/>
    <s v="S. Kumar"/>
  </r>
  <r>
    <s v="T100692"/>
    <x v="223"/>
    <x v="1"/>
    <x v="230"/>
    <x v="0"/>
    <s v="Maharashtra"/>
    <x v="1"/>
    <s v="Withdrawal"/>
    <n v="0"/>
    <n v="33014"/>
    <n v="0"/>
    <n v="0"/>
    <n v="0"/>
    <x v="277"/>
    <n v="38"/>
    <s v="Female"/>
    <n v="1757628"/>
    <x v="1"/>
    <x v="0"/>
    <s v="R. Patel"/>
  </r>
  <r>
    <s v="T100693"/>
    <x v="215"/>
    <x v="4"/>
    <x v="235"/>
    <x v="3"/>
    <s v="Delhi"/>
    <x v="3"/>
    <s v="EMI"/>
    <n v="0"/>
    <n v="0"/>
    <n v="0"/>
    <n v="21457"/>
    <n v="0"/>
    <x v="409"/>
    <n v="35"/>
    <s v="Male"/>
    <n v="2356728"/>
    <x v="0"/>
    <x v="4"/>
    <s v="A. Sharma"/>
  </r>
  <r>
    <s v="T100694"/>
    <x v="205"/>
    <x v="3"/>
    <x v="58"/>
    <x v="3"/>
    <s v="Telangana"/>
    <x v="1"/>
    <s v="EMI"/>
    <n v="0"/>
    <n v="0"/>
    <n v="0"/>
    <n v="44073"/>
    <n v="0"/>
    <x v="366"/>
    <n v="21"/>
    <s v="Female"/>
    <n v="778099"/>
    <x v="1"/>
    <x v="4"/>
    <s v="N. Rao"/>
  </r>
  <r>
    <s v="T100695"/>
    <x v="114"/>
    <x v="1"/>
    <x v="262"/>
    <x v="2"/>
    <s v="Maharashtra"/>
    <x v="1"/>
    <s v="Interest"/>
    <n v="0"/>
    <n v="0"/>
    <n v="0"/>
    <n v="0"/>
    <n v="7367.85"/>
    <x v="410"/>
    <n v="64"/>
    <s v="Male"/>
    <n v="407099"/>
    <x v="0"/>
    <x v="0"/>
    <s v="R. Patel"/>
  </r>
  <r>
    <s v="T100696"/>
    <x v="264"/>
    <x v="6"/>
    <x v="259"/>
    <x v="0"/>
    <s v="Delhi"/>
    <x v="3"/>
    <s v="Loan"/>
    <n v="0"/>
    <n v="0"/>
    <n v="739047"/>
    <n v="0"/>
    <n v="0"/>
    <x v="42"/>
    <n v="35"/>
    <s v="Male"/>
    <n v="1280350"/>
    <x v="1"/>
    <x v="1"/>
    <s v="A. Sharma"/>
  </r>
  <r>
    <s v="T100697"/>
    <x v="58"/>
    <x v="11"/>
    <x v="128"/>
    <x v="3"/>
    <s v="Karnataka"/>
    <x v="3"/>
    <s v="Loan"/>
    <n v="0"/>
    <n v="0"/>
    <n v="921558"/>
    <n v="0"/>
    <n v="0"/>
    <x v="201"/>
    <n v="54"/>
    <s v="Female"/>
    <n v="2801432"/>
    <x v="1"/>
    <x v="2"/>
    <s v="P. Singh"/>
  </r>
  <r>
    <s v="T100698"/>
    <x v="26"/>
    <x v="8"/>
    <x v="210"/>
    <x v="4"/>
    <s v="Tamil Nadu"/>
    <x v="1"/>
    <s v="EMI"/>
    <n v="0"/>
    <n v="0"/>
    <n v="0"/>
    <n v="42819"/>
    <n v="0"/>
    <x v="38"/>
    <n v="21"/>
    <s v="Male"/>
    <n v="2584780"/>
    <x v="1"/>
    <x v="1"/>
    <s v="N. Rao"/>
  </r>
  <r>
    <s v="T100699"/>
    <x v="70"/>
    <x v="6"/>
    <x v="202"/>
    <x v="0"/>
    <s v="Maharashtra"/>
    <x v="0"/>
    <s v="Loan"/>
    <n v="0"/>
    <n v="0"/>
    <n v="1100023"/>
    <n v="0"/>
    <n v="0"/>
    <x v="204"/>
    <n v="69"/>
    <s v="Female"/>
    <n v="1736019"/>
    <x v="1"/>
    <x v="1"/>
    <s v="P. Singh"/>
  </r>
  <r>
    <s v="T100700"/>
    <x v="86"/>
    <x v="0"/>
    <x v="74"/>
    <x v="1"/>
    <s v="Delhi"/>
    <x v="0"/>
    <s v="Deposit"/>
    <n v="160879"/>
    <n v="0"/>
    <n v="0"/>
    <n v="0"/>
    <n v="0"/>
    <x v="411"/>
    <n v="31"/>
    <s v="Male"/>
    <n v="584163"/>
    <x v="0"/>
    <x v="0"/>
    <s v="S. Kumar"/>
  </r>
  <r>
    <s v="T100701"/>
    <x v="232"/>
    <x v="6"/>
    <x v="53"/>
    <x v="0"/>
    <s v="Delhi"/>
    <x v="2"/>
    <s v="Withdrawal"/>
    <n v="0"/>
    <n v="29831"/>
    <n v="0"/>
    <n v="0"/>
    <n v="0"/>
    <x v="412"/>
    <n v="58"/>
    <s v="Female"/>
    <n v="2357378"/>
    <x v="1"/>
    <x v="0"/>
    <s v="A. Sharma"/>
  </r>
  <r>
    <s v="T100702"/>
    <x v="61"/>
    <x v="4"/>
    <x v="263"/>
    <x v="5"/>
    <s v="Delhi"/>
    <x v="3"/>
    <s v="Withdrawal"/>
    <n v="0"/>
    <n v="91551"/>
    <n v="0"/>
    <n v="0"/>
    <n v="0"/>
    <x v="154"/>
    <n v="46"/>
    <s v="Male"/>
    <n v="2715133"/>
    <x v="1"/>
    <x v="0"/>
    <s v="R. Patel"/>
  </r>
  <r>
    <s v="T100703"/>
    <x v="8"/>
    <x v="3"/>
    <x v="11"/>
    <x v="5"/>
    <s v="Telangana"/>
    <x v="0"/>
    <s v="Loan"/>
    <n v="0"/>
    <n v="0"/>
    <n v="1276788"/>
    <n v="0"/>
    <n v="0"/>
    <x v="241"/>
    <n v="34"/>
    <s v="Female"/>
    <n v="2888466"/>
    <x v="1"/>
    <x v="1"/>
    <s v="S. Kumar"/>
  </r>
  <r>
    <s v="T100704"/>
    <x v="187"/>
    <x v="10"/>
    <x v="156"/>
    <x v="0"/>
    <s v="Delhi"/>
    <x v="2"/>
    <s v="Interest"/>
    <n v="0"/>
    <n v="0"/>
    <n v="0"/>
    <n v="0"/>
    <n v="1570.15"/>
    <x v="216"/>
    <n v="25"/>
    <s v="Female"/>
    <n v="2811541"/>
    <x v="0"/>
    <x v="0"/>
    <s v="A. Sharma"/>
  </r>
  <r>
    <s v="T100705"/>
    <x v="307"/>
    <x v="3"/>
    <x v="222"/>
    <x v="0"/>
    <s v="Delhi"/>
    <x v="2"/>
    <s v="Deposit"/>
    <n v="4180"/>
    <n v="0"/>
    <n v="0"/>
    <n v="0"/>
    <n v="0"/>
    <x v="406"/>
    <n v="61"/>
    <s v="Male"/>
    <n v="1848398"/>
    <x v="0"/>
    <x v="0"/>
    <s v="S. Kumar"/>
  </r>
  <r>
    <s v="T100706"/>
    <x v="132"/>
    <x v="5"/>
    <x v="83"/>
    <x v="1"/>
    <s v="Tamil Nadu"/>
    <x v="1"/>
    <s v="Loan"/>
    <n v="0"/>
    <n v="0"/>
    <n v="1165995"/>
    <n v="0"/>
    <n v="0"/>
    <x v="126"/>
    <n v="35"/>
    <s v="Male"/>
    <n v="595433"/>
    <x v="0"/>
    <x v="1"/>
    <s v="P. Singh"/>
  </r>
  <r>
    <s v="T100707"/>
    <x v="308"/>
    <x v="0"/>
    <x v="121"/>
    <x v="3"/>
    <s v="Telangana"/>
    <x v="3"/>
    <s v="EMI"/>
    <n v="0"/>
    <n v="0"/>
    <n v="0"/>
    <n v="41437"/>
    <n v="0"/>
    <x v="413"/>
    <n v="59"/>
    <s v="Male"/>
    <n v="2027349"/>
    <x v="1"/>
    <x v="4"/>
    <s v="N. Rao"/>
  </r>
  <r>
    <s v="T100708"/>
    <x v="143"/>
    <x v="5"/>
    <x v="0"/>
    <x v="0"/>
    <s v="Maharashtra"/>
    <x v="0"/>
    <s v="Withdrawal"/>
    <n v="0"/>
    <n v="25525"/>
    <n v="0"/>
    <n v="0"/>
    <n v="0"/>
    <x v="240"/>
    <n v="27"/>
    <s v="Female"/>
    <n v="1768805"/>
    <x v="1"/>
    <x v="0"/>
    <s v="N. Rao"/>
  </r>
  <r>
    <s v="T100709"/>
    <x v="119"/>
    <x v="1"/>
    <x v="64"/>
    <x v="0"/>
    <s v="Telangana"/>
    <x v="2"/>
    <s v="EMI"/>
    <n v="0"/>
    <n v="0"/>
    <n v="0"/>
    <n v="24875"/>
    <n v="0"/>
    <x v="191"/>
    <n v="66"/>
    <s v="Female"/>
    <n v="2491083"/>
    <x v="1"/>
    <x v="1"/>
    <s v="A. Sharma"/>
  </r>
  <r>
    <s v="T100710"/>
    <x v="309"/>
    <x v="7"/>
    <x v="66"/>
    <x v="5"/>
    <s v="Tamil Nadu"/>
    <x v="2"/>
    <s v="Interest"/>
    <n v="0"/>
    <n v="0"/>
    <n v="0"/>
    <n v="0"/>
    <n v="4119.3500000000004"/>
    <x v="414"/>
    <n v="58"/>
    <s v="Female"/>
    <n v="677813"/>
    <x v="1"/>
    <x v="0"/>
    <s v="A. Sharma"/>
  </r>
  <r>
    <s v="T100711"/>
    <x v="134"/>
    <x v="4"/>
    <x v="115"/>
    <x v="3"/>
    <s v="Maharashtra"/>
    <x v="1"/>
    <s v="EMI"/>
    <n v="0"/>
    <n v="0"/>
    <n v="0"/>
    <n v="20376"/>
    <n v="0"/>
    <x v="60"/>
    <n v="35"/>
    <s v="Female"/>
    <n v="307305"/>
    <x v="0"/>
    <x v="3"/>
    <s v="R. Patel"/>
  </r>
  <r>
    <s v="T100712"/>
    <x v="215"/>
    <x v="4"/>
    <x v="37"/>
    <x v="3"/>
    <s v="Telangana"/>
    <x v="0"/>
    <s v="Loan"/>
    <n v="0"/>
    <n v="0"/>
    <n v="1619265"/>
    <n v="0"/>
    <n v="0"/>
    <x v="415"/>
    <n v="64"/>
    <s v="Male"/>
    <n v="589891"/>
    <x v="0"/>
    <x v="2"/>
    <s v="N. Rao"/>
  </r>
  <r>
    <s v="T100713"/>
    <x v="176"/>
    <x v="5"/>
    <x v="203"/>
    <x v="4"/>
    <s v="Maharashtra"/>
    <x v="2"/>
    <s v="Deposit"/>
    <n v="1820"/>
    <n v="0"/>
    <n v="0"/>
    <n v="0"/>
    <n v="0"/>
    <x v="7"/>
    <n v="59"/>
    <s v="Female"/>
    <n v="1921892"/>
    <x v="0"/>
    <x v="0"/>
    <s v="A. Sharma"/>
  </r>
  <r>
    <s v="T100714"/>
    <x v="90"/>
    <x v="0"/>
    <x v="264"/>
    <x v="4"/>
    <s v="Telangana"/>
    <x v="0"/>
    <s v="Withdrawal"/>
    <n v="0"/>
    <n v="10426"/>
    <n v="0"/>
    <n v="0"/>
    <n v="0"/>
    <x v="142"/>
    <n v="40"/>
    <s v="Female"/>
    <n v="1570019"/>
    <x v="0"/>
    <x v="0"/>
    <s v="S. Kumar"/>
  </r>
  <r>
    <s v="T100715"/>
    <x v="92"/>
    <x v="5"/>
    <x v="265"/>
    <x v="2"/>
    <s v="Maharashtra"/>
    <x v="3"/>
    <s v="Deposit"/>
    <n v="25074"/>
    <n v="0"/>
    <n v="0"/>
    <n v="0"/>
    <n v="0"/>
    <x v="261"/>
    <n v="69"/>
    <s v="Male"/>
    <n v="2845843"/>
    <x v="1"/>
    <x v="0"/>
    <s v="S. Kumar"/>
  </r>
  <r>
    <s v="T100716"/>
    <x v="221"/>
    <x v="1"/>
    <x v="125"/>
    <x v="2"/>
    <s v="Maharashtra"/>
    <x v="1"/>
    <s v="Deposit"/>
    <n v="88509"/>
    <n v="0"/>
    <n v="0"/>
    <n v="0"/>
    <n v="0"/>
    <x v="296"/>
    <n v="44"/>
    <s v="Female"/>
    <n v="532515"/>
    <x v="1"/>
    <x v="0"/>
    <s v="S. Kumar"/>
  </r>
  <r>
    <s v="T100717"/>
    <x v="103"/>
    <x v="8"/>
    <x v="16"/>
    <x v="4"/>
    <s v="Telangana"/>
    <x v="0"/>
    <s v="Deposit"/>
    <n v="39500"/>
    <n v="0"/>
    <n v="0"/>
    <n v="0"/>
    <n v="0"/>
    <x v="416"/>
    <n v="51"/>
    <s v="Male"/>
    <n v="520086"/>
    <x v="0"/>
    <x v="0"/>
    <s v="P. Singh"/>
  </r>
  <r>
    <s v="T100718"/>
    <x v="211"/>
    <x v="2"/>
    <x v="125"/>
    <x v="4"/>
    <s v="Maharashtra"/>
    <x v="3"/>
    <s v="Withdrawal"/>
    <n v="0"/>
    <n v="9528"/>
    <n v="0"/>
    <n v="0"/>
    <n v="0"/>
    <x v="21"/>
    <n v="65"/>
    <s v="Female"/>
    <n v="2640181"/>
    <x v="1"/>
    <x v="0"/>
    <s v="S. Kumar"/>
  </r>
  <r>
    <s v="T100719"/>
    <x v="91"/>
    <x v="2"/>
    <x v="68"/>
    <x v="3"/>
    <s v="Tamil Nadu"/>
    <x v="3"/>
    <s v="Deposit"/>
    <n v="72430"/>
    <n v="0"/>
    <n v="0"/>
    <n v="0"/>
    <n v="0"/>
    <x v="52"/>
    <n v="23"/>
    <s v="Male"/>
    <n v="1964765"/>
    <x v="0"/>
    <x v="0"/>
    <s v="S. Kumar"/>
  </r>
  <r>
    <s v="T100720"/>
    <x v="310"/>
    <x v="10"/>
    <x v="192"/>
    <x v="4"/>
    <s v="Tamil Nadu"/>
    <x v="0"/>
    <s v="EMI"/>
    <n v="0"/>
    <n v="0"/>
    <n v="0"/>
    <n v="44182"/>
    <n v="0"/>
    <x v="381"/>
    <n v="30"/>
    <s v="Male"/>
    <n v="1062143"/>
    <x v="1"/>
    <x v="3"/>
    <s v="R. Patel"/>
  </r>
  <r>
    <s v="T100721"/>
    <x v="119"/>
    <x v="1"/>
    <x v="66"/>
    <x v="0"/>
    <s v="Delhi"/>
    <x v="1"/>
    <s v="Interest"/>
    <n v="0"/>
    <n v="0"/>
    <n v="0"/>
    <n v="0"/>
    <n v="6810.56"/>
    <x v="417"/>
    <n v="20"/>
    <s v="Male"/>
    <n v="2774913"/>
    <x v="1"/>
    <x v="0"/>
    <s v="P. Singh"/>
  </r>
  <r>
    <s v="T100722"/>
    <x v="14"/>
    <x v="0"/>
    <x v="226"/>
    <x v="1"/>
    <s v="Karnataka"/>
    <x v="3"/>
    <s v="Loan"/>
    <n v="0"/>
    <n v="0"/>
    <n v="718061"/>
    <n v="0"/>
    <n v="0"/>
    <x v="418"/>
    <n v="48"/>
    <s v="Female"/>
    <n v="2320731"/>
    <x v="1"/>
    <x v="2"/>
    <s v="N. Rao"/>
  </r>
  <r>
    <s v="T100723"/>
    <x v="178"/>
    <x v="0"/>
    <x v="202"/>
    <x v="0"/>
    <s v="Maharashtra"/>
    <x v="1"/>
    <s v="Withdrawal"/>
    <n v="0"/>
    <n v="31090"/>
    <n v="0"/>
    <n v="0"/>
    <n v="0"/>
    <x v="76"/>
    <n v="37"/>
    <s v="Female"/>
    <n v="831341"/>
    <x v="1"/>
    <x v="0"/>
    <s v="N. Rao"/>
  </r>
  <r>
    <s v="T100724"/>
    <x v="196"/>
    <x v="10"/>
    <x v="98"/>
    <x v="3"/>
    <s v="Maharashtra"/>
    <x v="2"/>
    <s v="Loan"/>
    <n v="0"/>
    <n v="0"/>
    <n v="1137019"/>
    <n v="0"/>
    <n v="0"/>
    <x v="77"/>
    <n v="39"/>
    <s v="Male"/>
    <n v="2745211"/>
    <x v="0"/>
    <x v="1"/>
    <s v="N. Rao"/>
  </r>
  <r>
    <s v="T100725"/>
    <x v="181"/>
    <x v="7"/>
    <x v="221"/>
    <x v="4"/>
    <s v="Tamil Nadu"/>
    <x v="1"/>
    <s v="EMI"/>
    <n v="0"/>
    <n v="0"/>
    <n v="0"/>
    <n v="25467"/>
    <n v="0"/>
    <x v="129"/>
    <n v="24"/>
    <s v="Female"/>
    <n v="2860162"/>
    <x v="0"/>
    <x v="1"/>
    <s v="A. Sharma"/>
  </r>
  <r>
    <s v="T100726"/>
    <x v="242"/>
    <x v="9"/>
    <x v="10"/>
    <x v="4"/>
    <s v="Telangana"/>
    <x v="1"/>
    <s v="EMI"/>
    <n v="0"/>
    <n v="0"/>
    <n v="0"/>
    <n v="31190"/>
    <n v="0"/>
    <x v="367"/>
    <n v="38"/>
    <s v="Male"/>
    <n v="2092400"/>
    <x v="1"/>
    <x v="4"/>
    <s v="P. Singh"/>
  </r>
  <r>
    <s v="T100727"/>
    <x v="151"/>
    <x v="5"/>
    <x v="266"/>
    <x v="1"/>
    <s v="Delhi"/>
    <x v="3"/>
    <s v="Interest"/>
    <n v="0"/>
    <n v="0"/>
    <n v="0"/>
    <n v="0"/>
    <n v="9799.0499999999993"/>
    <x v="22"/>
    <n v="54"/>
    <s v="Male"/>
    <n v="2064541"/>
    <x v="0"/>
    <x v="0"/>
    <s v="R. Patel"/>
  </r>
  <r>
    <s v="T100728"/>
    <x v="254"/>
    <x v="9"/>
    <x v="266"/>
    <x v="2"/>
    <s v="Tamil Nadu"/>
    <x v="1"/>
    <s v="Loan"/>
    <n v="0"/>
    <n v="0"/>
    <n v="517068"/>
    <n v="0"/>
    <n v="0"/>
    <x v="419"/>
    <n v="37"/>
    <s v="Male"/>
    <n v="329375"/>
    <x v="1"/>
    <x v="2"/>
    <s v="A. Sharma"/>
  </r>
  <r>
    <s v="T100729"/>
    <x v="78"/>
    <x v="4"/>
    <x v="37"/>
    <x v="0"/>
    <s v="Karnataka"/>
    <x v="3"/>
    <s v="Withdrawal"/>
    <n v="0"/>
    <n v="60039"/>
    <n v="0"/>
    <n v="0"/>
    <n v="0"/>
    <x v="318"/>
    <n v="24"/>
    <s v="Female"/>
    <n v="1187962"/>
    <x v="1"/>
    <x v="0"/>
    <s v="N. Rao"/>
  </r>
  <r>
    <s v="T100730"/>
    <x v="51"/>
    <x v="11"/>
    <x v="231"/>
    <x v="5"/>
    <s v="Telangana"/>
    <x v="1"/>
    <s v="Loan"/>
    <n v="0"/>
    <n v="0"/>
    <n v="483692"/>
    <n v="0"/>
    <n v="0"/>
    <x v="141"/>
    <n v="62"/>
    <s v="Male"/>
    <n v="2226660"/>
    <x v="0"/>
    <x v="1"/>
    <s v="R. Patel"/>
  </r>
  <r>
    <s v="T100731"/>
    <x v="311"/>
    <x v="10"/>
    <x v="47"/>
    <x v="2"/>
    <s v="Karnataka"/>
    <x v="2"/>
    <s v="Loan"/>
    <n v="0"/>
    <n v="0"/>
    <n v="1480968"/>
    <n v="0"/>
    <n v="0"/>
    <x v="420"/>
    <n v="50"/>
    <s v="Male"/>
    <n v="2667085"/>
    <x v="1"/>
    <x v="1"/>
    <s v="A. Sharma"/>
  </r>
  <r>
    <s v="T100732"/>
    <x v="261"/>
    <x v="10"/>
    <x v="267"/>
    <x v="3"/>
    <s v="Karnataka"/>
    <x v="2"/>
    <s v="Loan"/>
    <n v="0"/>
    <n v="0"/>
    <n v="1145376"/>
    <n v="0"/>
    <n v="0"/>
    <x v="225"/>
    <n v="20"/>
    <s v="Female"/>
    <n v="1695230"/>
    <x v="1"/>
    <x v="1"/>
    <s v="S. Kumar"/>
  </r>
  <r>
    <s v="T100733"/>
    <x v="117"/>
    <x v="9"/>
    <x v="230"/>
    <x v="3"/>
    <s v="Telangana"/>
    <x v="3"/>
    <s v="Loan"/>
    <n v="0"/>
    <n v="0"/>
    <n v="1458194"/>
    <n v="0"/>
    <n v="0"/>
    <x v="421"/>
    <n v="22"/>
    <s v="Male"/>
    <n v="1992242"/>
    <x v="1"/>
    <x v="2"/>
    <s v="R. Patel"/>
  </r>
  <r>
    <s v="T100734"/>
    <x v="163"/>
    <x v="3"/>
    <x v="75"/>
    <x v="1"/>
    <s v="Karnataka"/>
    <x v="1"/>
    <s v="Loan"/>
    <n v="0"/>
    <n v="0"/>
    <n v="1556015"/>
    <n v="0"/>
    <n v="0"/>
    <x v="237"/>
    <n v="24"/>
    <s v="Male"/>
    <n v="2373803"/>
    <x v="0"/>
    <x v="2"/>
    <s v="S. Kumar"/>
  </r>
  <r>
    <s v="T100735"/>
    <x v="39"/>
    <x v="11"/>
    <x v="220"/>
    <x v="4"/>
    <s v="Delhi"/>
    <x v="0"/>
    <s v="Interest"/>
    <n v="0"/>
    <n v="0"/>
    <n v="0"/>
    <n v="0"/>
    <n v="4251.3999999999996"/>
    <x v="235"/>
    <n v="66"/>
    <s v="Female"/>
    <n v="1627319"/>
    <x v="1"/>
    <x v="0"/>
    <s v="N. Rao"/>
  </r>
  <r>
    <s v="T100736"/>
    <x v="312"/>
    <x v="11"/>
    <x v="250"/>
    <x v="3"/>
    <s v="Maharashtra"/>
    <x v="3"/>
    <s v="EMI"/>
    <n v="0"/>
    <n v="0"/>
    <n v="0"/>
    <n v="28318"/>
    <n v="0"/>
    <x v="350"/>
    <n v="41"/>
    <s v="Female"/>
    <n v="2413177"/>
    <x v="0"/>
    <x v="4"/>
    <s v="A. Sharma"/>
  </r>
  <r>
    <s v="T100738"/>
    <x v="79"/>
    <x v="0"/>
    <x v="268"/>
    <x v="3"/>
    <s v="Delhi"/>
    <x v="2"/>
    <s v="Deposit"/>
    <n v="80449"/>
    <n v="0"/>
    <n v="0"/>
    <n v="0"/>
    <n v="0"/>
    <x v="281"/>
    <n v="24"/>
    <s v="Female"/>
    <n v="622550"/>
    <x v="0"/>
    <x v="0"/>
    <s v="R. Patel"/>
  </r>
  <r>
    <s v="T100739"/>
    <x v="274"/>
    <x v="10"/>
    <x v="51"/>
    <x v="0"/>
    <s v="Maharashtra"/>
    <x v="2"/>
    <s v="EMI"/>
    <n v="0"/>
    <n v="0"/>
    <n v="0"/>
    <n v="46597"/>
    <n v="0"/>
    <x v="291"/>
    <n v="53"/>
    <s v="Male"/>
    <n v="260208"/>
    <x v="1"/>
    <x v="4"/>
    <s v="S. Kumar"/>
  </r>
  <r>
    <s v="T100740"/>
    <x v="160"/>
    <x v="2"/>
    <x v="269"/>
    <x v="3"/>
    <s v="Delhi"/>
    <x v="0"/>
    <s v="Deposit"/>
    <n v="112027"/>
    <n v="0"/>
    <n v="0"/>
    <n v="0"/>
    <n v="0"/>
    <x v="70"/>
    <n v="35"/>
    <s v="Male"/>
    <n v="2242454"/>
    <x v="0"/>
    <x v="0"/>
    <s v="N. Rao"/>
  </r>
  <r>
    <s v="T100741"/>
    <x v="87"/>
    <x v="3"/>
    <x v="9"/>
    <x v="5"/>
    <s v="Delhi"/>
    <x v="0"/>
    <s v="Loan"/>
    <n v="0"/>
    <n v="0"/>
    <n v="295929"/>
    <n v="0"/>
    <n v="0"/>
    <x v="28"/>
    <n v="51"/>
    <s v="Male"/>
    <n v="2481771"/>
    <x v="0"/>
    <x v="2"/>
    <s v="P. Singh"/>
  </r>
  <r>
    <s v="T100742"/>
    <x v="158"/>
    <x v="2"/>
    <x v="108"/>
    <x v="0"/>
    <s v="Delhi"/>
    <x v="1"/>
    <s v="Withdrawal"/>
    <n v="0"/>
    <n v="93436"/>
    <n v="0"/>
    <n v="0"/>
    <n v="0"/>
    <x v="422"/>
    <n v="57"/>
    <s v="Female"/>
    <n v="1968467"/>
    <x v="0"/>
    <x v="0"/>
    <s v="A. Sharma"/>
  </r>
  <r>
    <s v="T100743"/>
    <x v="68"/>
    <x v="9"/>
    <x v="265"/>
    <x v="2"/>
    <s v="Tamil Nadu"/>
    <x v="1"/>
    <s v="Deposit"/>
    <n v="35161"/>
    <n v="0"/>
    <n v="0"/>
    <n v="0"/>
    <n v="0"/>
    <x v="74"/>
    <n v="57"/>
    <s v="Female"/>
    <n v="2358852"/>
    <x v="1"/>
    <x v="0"/>
    <s v="R. Patel"/>
  </r>
  <r>
    <s v="T100744"/>
    <x v="200"/>
    <x v="5"/>
    <x v="270"/>
    <x v="4"/>
    <s v="Karnataka"/>
    <x v="1"/>
    <s v="EMI"/>
    <n v="0"/>
    <n v="0"/>
    <n v="0"/>
    <n v="8140"/>
    <n v="0"/>
    <x v="423"/>
    <n v="62"/>
    <s v="Male"/>
    <n v="1386689"/>
    <x v="1"/>
    <x v="4"/>
    <s v="R. Patel"/>
  </r>
  <r>
    <s v="T100745"/>
    <x v="69"/>
    <x v="4"/>
    <x v="213"/>
    <x v="3"/>
    <s v="Delhi"/>
    <x v="2"/>
    <s v="EMI"/>
    <n v="0"/>
    <n v="0"/>
    <n v="0"/>
    <n v="16144"/>
    <n v="0"/>
    <x v="424"/>
    <n v="35"/>
    <s v="Female"/>
    <n v="268158"/>
    <x v="0"/>
    <x v="3"/>
    <s v="A. Sharma"/>
  </r>
  <r>
    <s v="T100747"/>
    <x v="313"/>
    <x v="2"/>
    <x v="256"/>
    <x v="5"/>
    <s v="Telangana"/>
    <x v="3"/>
    <s v="EMI"/>
    <n v="0"/>
    <n v="0"/>
    <n v="0"/>
    <n v="46389"/>
    <n v="0"/>
    <x v="425"/>
    <n v="28"/>
    <s v="Female"/>
    <n v="994548"/>
    <x v="1"/>
    <x v="3"/>
    <s v="S. Kumar"/>
  </r>
  <r>
    <s v="T100748"/>
    <x v="314"/>
    <x v="5"/>
    <x v="15"/>
    <x v="2"/>
    <s v="Tamil Nadu"/>
    <x v="3"/>
    <s v="EMI"/>
    <n v="0"/>
    <n v="0"/>
    <n v="0"/>
    <n v="2998"/>
    <n v="0"/>
    <x v="404"/>
    <n v="67"/>
    <s v="Female"/>
    <n v="2164137"/>
    <x v="0"/>
    <x v="3"/>
    <s v="P. Singh"/>
  </r>
  <r>
    <s v="T100749"/>
    <x v="180"/>
    <x v="7"/>
    <x v="233"/>
    <x v="4"/>
    <s v="Tamil Nadu"/>
    <x v="0"/>
    <s v="EMI"/>
    <n v="0"/>
    <n v="0"/>
    <n v="0"/>
    <n v="39053"/>
    <n v="0"/>
    <x v="426"/>
    <n v="44"/>
    <s v="Male"/>
    <n v="928184"/>
    <x v="1"/>
    <x v="3"/>
    <s v="N. Rao"/>
  </r>
  <r>
    <s v="T100750"/>
    <x v="199"/>
    <x v="8"/>
    <x v="6"/>
    <x v="1"/>
    <s v="Karnataka"/>
    <x v="1"/>
    <s v="Loan"/>
    <n v="0"/>
    <n v="0"/>
    <n v="1004149"/>
    <n v="0"/>
    <n v="0"/>
    <x v="427"/>
    <n v="48"/>
    <s v="Female"/>
    <n v="2450422"/>
    <x v="0"/>
    <x v="2"/>
    <s v="A. Sharma"/>
  </r>
  <r>
    <s v="T100752"/>
    <x v="218"/>
    <x v="11"/>
    <x v="271"/>
    <x v="5"/>
    <s v="Tamil Nadu"/>
    <x v="3"/>
    <s v="Loan"/>
    <n v="0"/>
    <n v="0"/>
    <n v="1612211"/>
    <n v="0"/>
    <n v="0"/>
    <x v="375"/>
    <n v="39"/>
    <s v="Female"/>
    <n v="2802792"/>
    <x v="1"/>
    <x v="1"/>
    <s v="P. Singh"/>
  </r>
  <r>
    <s v="T100753"/>
    <x v="315"/>
    <x v="2"/>
    <x v="78"/>
    <x v="0"/>
    <s v="Karnataka"/>
    <x v="2"/>
    <s v="Withdrawal"/>
    <n v="0"/>
    <n v="25158"/>
    <n v="0"/>
    <n v="0"/>
    <n v="0"/>
    <x v="428"/>
    <n v="38"/>
    <s v="Male"/>
    <n v="2089164"/>
    <x v="1"/>
    <x v="0"/>
    <s v="R. Patel"/>
  </r>
  <r>
    <s v="T100754"/>
    <x v="36"/>
    <x v="0"/>
    <x v="271"/>
    <x v="1"/>
    <s v="Karnataka"/>
    <x v="1"/>
    <s v="EMI"/>
    <n v="0"/>
    <n v="0"/>
    <n v="0"/>
    <n v="28988"/>
    <n v="0"/>
    <x v="262"/>
    <n v="59"/>
    <s v="Male"/>
    <n v="2761746"/>
    <x v="0"/>
    <x v="3"/>
    <s v="P. Singh"/>
  </r>
  <r>
    <s v="T100755"/>
    <x v="246"/>
    <x v="10"/>
    <x v="46"/>
    <x v="1"/>
    <s v="Telangana"/>
    <x v="3"/>
    <s v="Withdrawal"/>
    <n v="0"/>
    <n v="26616"/>
    <n v="0"/>
    <n v="0"/>
    <n v="0"/>
    <x v="429"/>
    <n v="51"/>
    <s v="Male"/>
    <n v="1345326"/>
    <x v="0"/>
    <x v="0"/>
    <s v="A. Sharma"/>
  </r>
  <r>
    <s v="T100756"/>
    <x v="2"/>
    <x v="2"/>
    <x v="20"/>
    <x v="3"/>
    <s v="Tamil Nadu"/>
    <x v="2"/>
    <s v="Withdrawal"/>
    <n v="0"/>
    <n v="98719"/>
    <n v="0"/>
    <n v="0"/>
    <n v="0"/>
    <x v="338"/>
    <n v="52"/>
    <s v="Male"/>
    <n v="2601894"/>
    <x v="0"/>
    <x v="0"/>
    <s v="N. Rao"/>
  </r>
  <r>
    <s v="T100757"/>
    <x v="97"/>
    <x v="5"/>
    <x v="179"/>
    <x v="3"/>
    <s v="Delhi"/>
    <x v="0"/>
    <s v="EMI"/>
    <n v="0"/>
    <n v="0"/>
    <n v="0"/>
    <n v="5095"/>
    <n v="0"/>
    <x v="309"/>
    <n v="37"/>
    <s v="Female"/>
    <n v="2574097"/>
    <x v="0"/>
    <x v="3"/>
    <s v="S. Kumar"/>
  </r>
  <r>
    <s v="T100758"/>
    <x v="48"/>
    <x v="3"/>
    <x v="18"/>
    <x v="0"/>
    <s v="Delhi"/>
    <x v="1"/>
    <s v="EMI"/>
    <n v="0"/>
    <n v="0"/>
    <n v="0"/>
    <n v="21990"/>
    <n v="0"/>
    <x v="338"/>
    <n v="50"/>
    <s v="Female"/>
    <n v="2826253"/>
    <x v="0"/>
    <x v="1"/>
    <s v="P. Singh"/>
  </r>
  <r>
    <s v="T100759"/>
    <x v="28"/>
    <x v="7"/>
    <x v="155"/>
    <x v="2"/>
    <s v="Telangana"/>
    <x v="2"/>
    <s v="Deposit"/>
    <n v="139284"/>
    <n v="0"/>
    <n v="0"/>
    <n v="0"/>
    <n v="0"/>
    <x v="205"/>
    <n v="52"/>
    <s v="Female"/>
    <n v="1192799"/>
    <x v="0"/>
    <x v="0"/>
    <s v="A. Sharma"/>
  </r>
  <r>
    <s v="T100760"/>
    <x v="316"/>
    <x v="9"/>
    <x v="272"/>
    <x v="5"/>
    <s v="Tamil Nadu"/>
    <x v="2"/>
    <s v="EMI"/>
    <n v="0"/>
    <n v="0"/>
    <n v="0"/>
    <n v="36837"/>
    <n v="0"/>
    <x v="175"/>
    <n v="51"/>
    <s v="Male"/>
    <n v="1805284"/>
    <x v="1"/>
    <x v="4"/>
    <s v="P. Singh"/>
  </r>
  <r>
    <s v="T100761"/>
    <x v="302"/>
    <x v="10"/>
    <x v="202"/>
    <x v="3"/>
    <s v="Delhi"/>
    <x v="2"/>
    <s v="Deposit"/>
    <n v="131389"/>
    <n v="0"/>
    <n v="0"/>
    <n v="0"/>
    <n v="0"/>
    <x v="68"/>
    <n v="56"/>
    <s v="Female"/>
    <n v="1210004"/>
    <x v="0"/>
    <x v="0"/>
    <s v="R. Patel"/>
  </r>
  <r>
    <s v="T100762"/>
    <x v="23"/>
    <x v="10"/>
    <x v="200"/>
    <x v="5"/>
    <s v="Tamil Nadu"/>
    <x v="1"/>
    <s v="Withdrawal"/>
    <n v="0"/>
    <n v="1196"/>
    <n v="0"/>
    <n v="0"/>
    <n v="0"/>
    <x v="375"/>
    <n v="44"/>
    <s v="Female"/>
    <n v="2150996"/>
    <x v="1"/>
    <x v="0"/>
    <s v="A. Sharma"/>
  </r>
  <r>
    <s v="T100763"/>
    <x v="255"/>
    <x v="7"/>
    <x v="270"/>
    <x v="3"/>
    <s v="Tamil Nadu"/>
    <x v="2"/>
    <s v="Interest"/>
    <n v="0"/>
    <n v="0"/>
    <n v="0"/>
    <n v="0"/>
    <n v="2396.6999999999998"/>
    <x v="335"/>
    <n v="42"/>
    <s v="Male"/>
    <n v="1756263"/>
    <x v="0"/>
    <x v="0"/>
    <s v="P. Singh"/>
  </r>
  <r>
    <s v="T100764"/>
    <x v="247"/>
    <x v="4"/>
    <x v="209"/>
    <x v="2"/>
    <s v="Telangana"/>
    <x v="1"/>
    <s v="Deposit"/>
    <n v="159735"/>
    <n v="0"/>
    <n v="0"/>
    <n v="0"/>
    <n v="0"/>
    <x v="430"/>
    <n v="47"/>
    <s v="Female"/>
    <n v="1349838"/>
    <x v="1"/>
    <x v="0"/>
    <s v="R. Patel"/>
  </r>
  <r>
    <s v="T100765"/>
    <x v="161"/>
    <x v="9"/>
    <x v="252"/>
    <x v="1"/>
    <s v="Telangana"/>
    <x v="2"/>
    <s v="Withdrawal"/>
    <n v="0"/>
    <n v="71393"/>
    <n v="0"/>
    <n v="0"/>
    <n v="0"/>
    <x v="419"/>
    <n v="35"/>
    <s v="Male"/>
    <n v="2047360"/>
    <x v="1"/>
    <x v="0"/>
    <s v="S. Kumar"/>
  </r>
  <r>
    <s v="T100766"/>
    <x v="297"/>
    <x v="3"/>
    <x v="235"/>
    <x v="3"/>
    <s v="Delhi"/>
    <x v="1"/>
    <s v="Withdrawal"/>
    <n v="0"/>
    <n v="25977"/>
    <n v="0"/>
    <n v="0"/>
    <n v="0"/>
    <x v="85"/>
    <n v="33"/>
    <s v="Male"/>
    <n v="300209"/>
    <x v="1"/>
    <x v="0"/>
    <s v="N. Rao"/>
  </r>
  <r>
    <s v="T100767"/>
    <x v="51"/>
    <x v="11"/>
    <x v="226"/>
    <x v="1"/>
    <s v="Telangana"/>
    <x v="2"/>
    <s v="Loan"/>
    <n v="0"/>
    <n v="0"/>
    <n v="601777"/>
    <n v="0"/>
    <n v="0"/>
    <x v="431"/>
    <n v="39"/>
    <s v="Male"/>
    <n v="1223974"/>
    <x v="1"/>
    <x v="1"/>
    <s v="A. Sharma"/>
  </r>
  <r>
    <s v="T100768"/>
    <x v="80"/>
    <x v="0"/>
    <x v="273"/>
    <x v="2"/>
    <s v="Telangana"/>
    <x v="1"/>
    <s v="Withdrawal"/>
    <n v="0"/>
    <n v="25760"/>
    <n v="0"/>
    <n v="0"/>
    <n v="0"/>
    <x v="329"/>
    <n v="26"/>
    <s v="Female"/>
    <n v="1726391"/>
    <x v="0"/>
    <x v="0"/>
    <s v="A. Sharma"/>
  </r>
  <r>
    <s v="T100769"/>
    <x v="317"/>
    <x v="3"/>
    <x v="149"/>
    <x v="5"/>
    <s v="Tamil Nadu"/>
    <x v="3"/>
    <s v="Withdrawal"/>
    <n v="0"/>
    <n v="30919"/>
    <n v="0"/>
    <n v="0"/>
    <n v="0"/>
    <x v="408"/>
    <n v="68"/>
    <s v="Male"/>
    <n v="2512675"/>
    <x v="1"/>
    <x v="0"/>
    <s v="P. Singh"/>
  </r>
  <r>
    <s v="T100770"/>
    <x v="30"/>
    <x v="0"/>
    <x v="274"/>
    <x v="0"/>
    <s v="Delhi"/>
    <x v="3"/>
    <s v="EMI"/>
    <n v="0"/>
    <n v="0"/>
    <n v="0"/>
    <n v="4138"/>
    <n v="0"/>
    <x v="0"/>
    <n v="37"/>
    <s v="Male"/>
    <n v="586590"/>
    <x v="0"/>
    <x v="3"/>
    <s v="S. Kumar"/>
  </r>
  <r>
    <s v="T100771"/>
    <x v="204"/>
    <x v="8"/>
    <x v="54"/>
    <x v="0"/>
    <s v="Karnataka"/>
    <x v="3"/>
    <s v="Withdrawal"/>
    <n v="0"/>
    <n v="82736"/>
    <n v="0"/>
    <n v="0"/>
    <n v="0"/>
    <x v="413"/>
    <n v="29"/>
    <s v="Female"/>
    <n v="2917784"/>
    <x v="0"/>
    <x v="0"/>
    <s v="N. Rao"/>
  </r>
  <r>
    <s v="T100772"/>
    <x v="239"/>
    <x v="11"/>
    <x v="186"/>
    <x v="4"/>
    <s v="Telangana"/>
    <x v="1"/>
    <s v="EMI"/>
    <n v="0"/>
    <n v="0"/>
    <n v="0"/>
    <n v="23492"/>
    <n v="0"/>
    <x v="145"/>
    <n v="63"/>
    <s v="Male"/>
    <n v="1691921"/>
    <x v="1"/>
    <x v="3"/>
    <s v="P. Singh"/>
  </r>
  <r>
    <s v="T100773"/>
    <x v="169"/>
    <x v="2"/>
    <x v="54"/>
    <x v="5"/>
    <s v="Maharashtra"/>
    <x v="2"/>
    <s v="Loan"/>
    <n v="0"/>
    <n v="0"/>
    <n v="665025"/>
    <n v="0"/>
    <n v="0"/>
    <x v="165"/>
    <n v="64"/>
    <s v="Male"/>
    <n v="670243"/>
    <x v="1"/>
    <x v="2"/>
    <s v="R. Patel"/>
  </r>
  <r>
    <s v="T100774"/>
    <x v="180"/>
    <x v="7"/>
    <x v="175"/>
    <x v="0"/>
    <s v="Telangana"/>
    <x v="0"/>
    <s v="Deposit"/>
    <n v="63909"/>
    <n v="0"/>
    <n v="0"/>
    <n v="0"/>
    <n v="0"/>
    <x v="407"/>
    <n v="38"/>
    <s v="Female"/>
    <n v="2743918"/>
    <x v="0"/>
    <x v="0"/>
    <s v="R. Patel"/>
  </r>
  <r>
    <s v="T100775"/>
    <x v="318"/>
    <x v="4"/>
    <x v="146"/>
    <x v="4"/>
    <s v="Tamil Nadu"/>
    <x v="2"/>
    <s v="EMI"/>
    <n v="0"/>
    <n v="0"/>
    <n v="0"/>
    <n v="16865"/>
    <n v="0"/>
    <x v="282"/>
    <n v="62"/>
    <s v="Male"/>
    <n v="2856632"/>
    <x v="1"/>
    <x v="3"/>
    <s v="R. Patel"/>
  </r>
  <r>
    <s v="T100776"/>
    <x v="102"/>
    <x v="6"/>
    <x v="225"/>
    <x v="3"/>
    <s v="Karnataka"/>
    <x v="2"/>
    <s v="Withdrawal"/>
    <n v="0"/>
    <n v="28506"/>
    <n v="0"/>
    <n v="0"/>
    <n v="0"/>
    <x v="254"/>
    <n v="56"/>
    <s v="Female"/>
    <n v="2897152"/>
    <x v="0"/>
    <x v="0"/>
    <s v="S. Kumar"/>
  </r>
  <r>
    <s v="T100777"/>
    <x v="246"/>
    <x v="10"/>
    <x v="155"/>
    <x v="3"/>
    <s v="Tamil Nadu"/>
    <x v="0"/>
    <s v="Loan"/>
    <n v="0"/>
    <n v="0"/>
    <n v="1314397"/>
    <n v="0"/>
    <n v="0"/>
    <x v="432"/>
    <n v="64"/>
    <s v="Female"/>
    <n v="1965564"/>
    <x v="1"/>
    <x v="1"/>
    <s v="P. Singh"/>
  </r>
  <r>
    <s v="T100778"/>
    <x v="79"/>
    <x v="0"/>
    <x v="228"/>
    <x v="1"/>
    <s v="Telangana"/>
    <x v="3"/>
    <s v="Deposit"/>
    <n v="23305"/>
    <n v="0"/>
    <n v="0"/>
    <n v="0"/>
    <n v="0"/>
    <x v="433"/>
    <n v="19"/>
    <s v="Male"/>
    <n v="1531452"/>
    <x v="1"/>
    <x v="0"/>
    <s v="R. Patel"/>
  </r>
  <r>
    <s v="T100779"/>
    <x v="265"/>
    <x v="3"/>
    <x v="275"/>
    <x v="2"/>
    <s v="Tamil Nadu"/>
    <x v="0"/>
    <s v="Deposit"/>
    <n v="95827"/>
    <n v="0"/>
    <n v="0"/>
    <n v="0"/>
    <n v="0"/>
    <x v="219"/>
    <n v="30"/>
    <s v="Female"/>
    <n v="289068"/>
    <x v="0"/>
    <x v="0"/>
    <s v="A. Sharma"/>
  </r>
  <r>
    <s v="T100780"/>
    <x v="34"/>
    <x v="5"/>
    <x v="245"/>
    <x v="2"/>
    <s v="Maharashtra"/>
    <x v="0"/>
    <s v="Deposit"/>
    <n v="176044"/>
    <n v="0"/>
    <n v="0"/>
    <n v="0"/>
    <n v="0"/>
    <x v="159"/>
    <n v="49"/>
    <s v="Female"/>
    <n v="1534588"/>
    <x v="1"/>
    <x v="0"/>
    <s v="P. Singh"/>
  </r>
  <r>
    <s v="T100781"/>
    <x v="62"/>
    <x v="4"/>
    <x v="203"/>
    <x v="2"/>
    <s v="Karnataka"/>
    <x v="1"/>
    <s v="Deposit"/>
    <n v="44329"/>
    <n v="0"/>
    <n v="0"/>
    <n v="0"/>
    <n v="0"/>
    <x v="434"/>
    <n v="20"/>
    <s v="Female"/>
    <n v="1168938"/>
    <x v="1"/>
    <x v="0"/>
    <s v="P. Singh"/>
  </r>
  <r>
    <s v="T100782"/>
    <x v="55"/>
    <x v="5"/>
    <x v="190"/>
    <x v="4"/>
    <s v="Telangana"/>
    <x v="0"/>
    <s v="Loan"/>
    <n v="0"/>
    <n v="0"/>
    <n v="98276"/>
    <n v="0"/>
    <n v="0"/>
    <x v="291"/>
    <n v="70"/>
    <s v="Female"/>
    <n v="2967458"/>
    <x v="1"/>
    <x v="2"/>
    <s v="S. Kumar"/>
  </r>
  <r>
    <s v="T100783"/>
    <x v="151"/>
    <x v="5"/>
    <x v="53"/>
    <x v="0"/>
    <s v="Karnataka"/>
    <x v="1"/>
    <s v="Interest"/>
    <n v="0"/>
    <n v="0"/>
    <n v="0"/>
    <n v="0"/>
    <n v="9735.56"/>
    <x v="335"/>
    <n v="20"/>
    <s v="Female"/>
    <n v="2977494"/>
    <x v="1"/>
    <x v="0"/>
    <s v="P. Singh"/>
  </r>
  <r>
    <s v="T100784"/>
    <x v="36"/>
    <x v="0"/>
    <x v="16"/>
    <x v="3"/>
    <s v="Telangana"/>
    <x v="2"/>
    <s v="EMI"/>
    <n v="0"/>
    <n v="0"/>
    <n v="0"/>
    <n v="15966"/>
    <n v="0"/>
    <x v="435"/>
    <n v="38"/>
    <s v="Male"/>
    <n v="422293"/>
    <x v="0"/>
    <x v="3"/>
    <s v="A. Sharma"/>
  </r>
  <r>
    <s v="T100785"/>
    <x v="21"/>
    <x v="1"/>
    <x v="27"/>
    <x v="4"/>
    <s v="Tamil Nadu"/>
    <x v="3"/>
    <s v="Withdrawal"/>
    <n v="0"/>
    <n v="85432"/>
    <n v="0"/>
    <n v="0"/>
    <n v="0"/>
    <x v="98"/>
    <n v="38"/>
    <s v="Male"/>
    <n v="407302"/>
    <x v="1"/>
    <x v="0"/>
    <s v="A. Sharma"/>
  </r>
  <r>
    <s v="T100786"/>
    <x v="160"/>
    <x v="2"/>
    <x v="101"/>
    <x v="1"/>
    <s v="Tamil Nadu"/>
    <x v="2"/>
    <s v="EMI"/>
    <n v="0"/>
    <n v="0"/>
    <n v="0"/>
    <n v="32454"/>
    <n v="0"/>
    <x v="388"/>
    <n v="39"/>
    <s v="Male"/>
    <n v="2772432"/>
    <x v="0"/>
    <x v="1"/>
    <s v="P. Singh"/>
  </r>
  <r>
    <s v="T100787"/>
    <x v="42"/>
    <x v="11"/>
    <x v="211"/>
    <x v="5"/>
    <s v="Delhi"/>
    <x v="3"/>
    <s v="Withdrawal"/>
    <n v="0"/>
    <n v="18540"/>
    <n v="0"/>
    <n v="0"/>
    <n v="0"/>
    <x v="436"/>
    <n v="34"/>
    <s v="Female"/>
    <n v="2076092"/>
    <x v="0"/>
    <x v="0"/>
    <s v="A. Sharma"/>
  </r>
  <r>
    <s v="T100788"/>
    <x v="30"/>
    <x v="0"/>
    <x v="109"/>
    <x v="2"/>
    <s v="Tamil Nadu"/>
    <x v="2"/>
    <s v="Interest"/>
    <n v="0"/>
    <n v="0"/>
    <n v="0"/>
    <n v="0"/>
    <n v="5686.58"/>
    <x v="72"/>
    <n v="55"/>
    <s v="Female"/>
    <n v="1404021"/>
    <x v="1"/>
    <x v="0"/>
    <s v="R. Patel"/>
  </r>
  <r>
    <s v="T100789"/>
    <x v="319"/>
    <x v="5"/>
    <x v="106"/>
    <x v="1"/>
    <s v="Delhi"/>
    <x v="2"/>
    <s v="EMI"/>
    <n v="0"/>
    <n v="0"/>
    <n v="0"/>
    <n v="19219"/>
    <n v="0"/>
    <x v="119"/>
    <n v="24"/>
    <s v="Male"/>
    <n v="1363332"/>
    <x v="1"/>
    <x v="4"/>
    <s v="S. Kumar"/>
  </r>
  <r>
    <s v="T100790"/>
    <x v="116"/>
    <x v="1"/>
    <x v="177"/>
    <x v="0"/>
    <s v="Karnataka"/>
    <x v="1"/>
    <s v="Interest"/>
    <n v="0"/>
    <n v="0"/>
    <n v="0"/>
    <n v="0"/>
    <n v="6117.76"/>
    <x v="311"/>
    <n v="66"/>
    <s v="Female"/>
    <n v="1402736"/>
    <x v="1"/>
    <x v="0"/>
    <s v="A. Sharma"/>
  </r>
  <r>
    <s v="T100791"/>
    <x v="159"/>
    <x v="5"/>
    <x v="99"/>
    <x v="2"/>
    <s v="Telangana"/>
    <x v="1"/>
    <s v="Deposit"/>
    <n v="148168"/>
    <n v="0"/>
    <n v="0"/>
    <n v="0"/>
    <n v="0"/>
    <x v="18"/>
    <n v="24"/>
    <s v="Male"/>
    <n v="770577"/>
    <x v="1"/>
    <x v="0"/>
    <s v="A. Sharma"/>
  </r>
  <r>
    <s v="T100792"/>
    <x v="29"/>
    <x v="6"/>
    <x v="269"/>
    <x v="1"/>
    <s v="Karnataka"/>
    <x v="1"/>
    <s v="Deposit"/>
    <n v="18091"/>
    <n v="0"/>
    <n v="0"/>
    <n v="0"/>
    <n v="0"/>
    <x v="15"/>
    <n v="62"/>
    <s v="Female"/>
    <n v="2533989"/>
    <x v="1"/>
    <x v="0"/>
    <s v="R. Patel"/>
  </r>
  <r>
    <s v="T100793"/>
    <x v="166"/>
    <x v="10"/>
    <x v="68"/>
    <x v="5"/>
    <s v="Tamil Nadu"/>
    <x v="2"/>
    <s v="Loan"/>
    <n v="0"/>
    <n v="0"/>
    <n v="377859"/>
    <n v="0"/>
    <n v="0"/>
    <x v="245"/>
    <n v="70"/>
    <s v="Female"/>
    <n v="298407"/>
    <x v="0"/>
    <x v="1"/>
    <s v="R. Patel"/>
  </r>
  <r>
    <s v="T100794"/>
    <x v="224"/>
    <x v="3"/>
    <x v="177"/>
    <x v="1"/>
    <s v="Telangana"/>
    <x v="0"/>
    <s v="Loan"/>
    <n v="0"/>
    <n v="0"/>
    <n v="1744569"/>
    <n v="0"/>
    <n v="0"/>
    <x v="206"/>
    <n v="61"/>
    <s v="Female"/>
    <n v="618798"/>
    <x v="1"/>
    <x v="2"/>
    <s v="A. Sharma"/>
  </r>
  <r>
    <s v="T100795"/>
    <x v="297"/>
    <x v="3"/>
    <x v="182"/>
    <x v="3"/>
    <s v="Tamil Nadu"/>
    <x v="1"/>
    <s v="EMI"/>
    <n v="0"/>
    <n v="0"/>
    <n v="0"/>
    <n v="26261"/>
    <n v="0"/>
    <x v="275"/>
    <n v="55"/>
    <s v="Male"/>
    <n v="525459"/>
    <x v="0"/>
    <x v="1"/>
    <s v="P. Singh"/>
  </r>
  <r>
    <s v="T100796"/>
    <x v="226"/>
    <x v="8"/>
    <x v="9"/>
    <x v="1"/>
    <s v="Karnataka"/>
    <x v="2"/>
    <s v="Loan"/>
    <n v="0"/>
    <n v="0"/>
    <n v="788064"/>
    <n v="0"/>
    <n v="0"/>
    <x v="386"/>
    <n v="26"/>
    <s v="Male"/>
    <n v="751279"/>
    <x v="0"/>
    <x v="1"/>
    <s v="P. Singh"/>
  </r>
  <r>
    <s v="T100797"/>
    <x v="166"/>
    <x v="10"/>
    <x v="144"/>
    <x v="0"/>
    <s v="Telangana"/>
    <x v="2"/>
    <s v="Loan"/>
    <n v="0"/>
    <n v="0"/>
    <n v="1763476"/>
    <n v="0"/>
    <n v="0"/>
    <x v="128"/>
    <n v="43"/>
    <s v="Female"/>
    <n v="2695287"/>
    <x v="0"/>
    <x v="1"/>
    <s v="R. Patel"/>
  </r>
  <r>
    <s v="T100798"/>
    <x v="206"/>
    <x v="8"/>
    <x v="97"/>
    <x v="5"/>
    <s v="Tamil Nadu"/>
    <x v="1"/>
    <s v="Withdrawal"/>
    <n v="0"/>
    <n v="6099"/>
    <n v="0"/>
    <n v="0"/>
    <n v="0"/>
    <x v="437"/>
    <n v="53"/>
    <s v="Female"/>
    <n v="2617995"/>
    <x v="1"/>
    <x v="0"/>
    <s v="A. Sharma"/>
  </r>
  <r>
    <s v="T100799"/>
    <x v="320"/>
    <x v="11"/>
    <x v="99"/>
    <x v="5"/>
    <s v="Maharashtra"/>
    <x v="3"/>
    <s v="Deposit"/>
    <n v="21945"/>
    <n v="0"/>
    <n v="0"/>
    <n v="0"/>
    <n v="0"/>
    <x v="438"/>
    <n v="67"/>
    <s v="Male"/>
    <n v="1600600"/>
    <x v="1"/>
    <x v="0"/>
    <s v="R. Patel"/>
  </r>
  <r>
    <s v="T100800"/>
    <x v="321"/>
    <x v="1"/>
    <x v="138"/>
    <x v="1"/>
    <s v="Telangana"/>
    <x v="3"/>
    <s v="Loan"/>
    <n v="0"/>
    <n v="0"/>
    <n v="167764"/>
    <n v="0"/>
    <n v="0"/>
    <x v="162"/>
    <n v="26"/>
    <s v="Male"/>
    <n v="2635624"/>
    <x v="0"/>
    <x v="2"/>
    <s v="A. Sharma"/>
  </r>
  <r>
    <s v="T100801"/>
    <x v="207"/>
    <x v="9"/>
    <x v="195"/>
    <x v="0"/>
    <s v="Telangana"/>
    <x v="0"/>
    <s v="Loan"/>
    <n v="0"/>
    <n v="0"/>
    <n v="225679"/>
    <n v="0"/>
    <n v="0"/>
    <x v="439"/>
    <n v="65"/>
    <s v="Male"/>
    <n v="1145320"/>
    <x v="1"/>
    <x v="2"/>
    <s v="S. Kumar"/>
  </r>
  <r>
    <s v="T100802"/>
    <x v="170"/>
    <x v="9"/>
    <x v="271"/>
    <x v="3"/>
    <s v="Maharashtra"/>
    <x v="1"/>
    <s v="Withdrawal"/>
    <n v="0"/>
    <n v="78861"/>
    <n v="0"/>
    <n v="0"/>
    <n v="0"/>
    <x v="374"/>
    <n v="70"/>
    <s v="Male"/>
    <n v="1379876"/>
    <x v="0"/>
    <x v="0"/>
    <s v="N. Rao"/>
  </r>
  <r>
    <s v="T100803"/>
    <x v="258"/>
    <x v="2"/>
    <x v="229"/>
    <x v="3"/>
    <s v="Delhi"/>
    <x v="2"/>
    <s v="Withdrawal"/>
    <n v="0"/>
    <n v="30959"/>
    <n v="0"/>
    <n v="0"/>
    <n v="0"/>
    <x v="440"/>
    <n v="31"/>
    <s v="Female"/>
    <n v="2220245"/>
    <x v="0"/>
    <x v="0"/>
    <s v="S. Kumar"/>
  </r>
  <r>
    <s v="T100804"/>
    <x v="67"/>
    <x v="9"/>
    <x v="71"/>
    <x v="4"/>
    <s v="Maharashtra"/>
    <x v="3"/>
    <s v="Withdrawal"/>
    <n v="0"/>
    <n v="86198"/>
    <n v="0"/>
    <n v="0"/>
    <n v="0"/>
    <x v="316"/>
    <n v="51"/>
    <s v="Female"/>
    <n v="2698505"/>
    <x v="0"/>
    <x v="0"/>
    <s v="R. Patel"/>
  </r>
  <r>
    <s v="T100805"/>
    <x v="185"/>
    <x v="11"/>
    <x v="145"/>
    <x v="0"/>
    <s v="Tamil Nadu"/>
    <x v="3"/>
    <s v="Withdrawal"/>
    <n v="0"/>
    <n v="1461"/>
    <n v="0"/>
    <n v="0"/>
    <n v="0"/>
    <x v="308"/>
    <n v="22"/>
    <s v="Male"/>
    <n v="1955591"/>
    <x v="0"/>
    <x v="0"/>
    <s v="N. Rao"/>
  </r>
  <r>
    <s v="T100806"/>
    <x v="138"/>
    <x v="1"/>
    <x v="29"/>
    <x v="1"/>
    <s v="Telangana"/>
    <x v="0"/>
    <s v="Interest"/>
    <n v="0"/>
    <n v="0"/>
    <n v="0"/>
    <n v="0"/>
    <n v="9307.86"/>
    <x v="148"/>
    <n v="52"/>
    <s v="Male"/>
    <n v="710102"/>
    <x v="1"/>
    <x v="0"/>
    <s v="S. Kumar"/>
  </r>
  <r>
    <s v="T100807"/>
    <x v="247"/>
    <x v="4"/>
    <x v="222"/>
    <x v="4"/>
    <s v="Karnataka"/>
    <x v="2"/>
    <s v="Deposit"/>
    <n v="80509"/>
    <n v="0"/>
    <n v="0"/>
    <n v="0"/>
    <n v="0"/>
    <x v="441"/>
    <n v="42"/>
    <s v="Female"/>
    <n v="1561146"/>
    <x v="0"/>
    <x v="0"/>
    <s v="S. Kumar"/>
  </r>
  <r>
    <s v="T100808"/>
    <x v="96"/>
    <x v="10"/>
    <x v="191"/>
    <x v="1"/>
    <s v="Maharashtra"/>
    <x v="2"/>
    <s v="Loan"/>
    <n v="0"/>
    <n v="0"/>
    <n v="120936"/>
    <n v="0"/>
    <n v="0"/>
    <x v="442"/>
    <n v="64"/>
    <s v="Female"/>
    <n v="383746"/>
    <x v="1"/>
    <x v="2"/>
    <s v="P. Singh"/>
  </r>
  <r>
    <s v="T100809"/>
    <x v="224"/>
    <x v="3"/>
    <x v="147"/>
    <x v="3"/>
    <s v="Maharashtra"/>
    <x v="0"/>
    <s v="Loan"/>
    <n v="0"/>
    <n v="0"/>
    <n v="497709"/>
    <n v="0"/>
    <n v="0"/>
    <x v="176"/>
    <n v="31"/>
    <s v="Male"/>
    <n v="361622"/>
    <x v="0"/>
    <x v="2"/>
    <s v="R. Patel"/>
  </r>
  <r>
    <s v="T100810"/>
    <x v="233"/>
    <x v="3"/>
    <x v="124"/>
    <x v="1"/>
    <s v="Delhi"/>
    <x v="0"/>
    <s v="Interest"/>
    <n v="0"/>
    <n v="0"/>
    <n v="0"/>
    <n v="0"/>
    <n v="1388.57"/>
    <x v="443"/>
    <n v="22"/>
    <s v="Female"/>
    <n v="1891667"/>
    <x v="1"/>
    <x v="0"/>
    <s v="P. Singh"/>
  </r>
  <r>
    <s v="T100811"/>
    <x v="11"/>
    <x v="8"/>
    <x v="108"/>
    <x v="1"/>
    <s v="Karnataka"/>
    <x v="1"/>
    <s v="Interest"/>
    <n v="0"/>
    <n v="0"/>
    <n v="0"/>
    <n v="0"/>
    <n v="4022.79"/>
    <x v="444"/>
    <n v="55"/>
    <s v="Female"/>
    <n v="2435202"/>
    <x v="0"/>
    <x v="0"/>
    <s v="R. Patel"/>
  </r>
  <r>
    <s v="T100812"/>
    <x v="238"/>
    <x v="5"/>
    <x v="136"/>
    <x v="4"/>
    <s v="Telangana"/>
    <x v="3"/>
    <s v="Withdrawal"/>
    <n v="0"/>
    <n v="11849"/>
    <n v="0"/>
    <n v="0"/>
    <n v="0"/>
    <x v="445"/>
    <n v="56"/>
    <s v="Male"/>
    <n v="1637329"/>
    <x v="1"/>
    <x v="0"/>
    <s v="P. Singh"/>
  </r>
  <r>
    <s v="T100813"/>
    <x v="208"/>
    <x v="2"/>
    <x v="7"/>
    <x v="3"/>
    <s v="Tamil Nadu"/>
    <x v="0"/>
    <s v="Loan"/>
    <n v="0"/>
    <n v="0"/>
    <n v="904807"/>
    <n v="0"/>
    <n v="0"/>
    <x v="90"/>
    <n v="19"/>
    <s v="Male"/>
    <n v="349668"/>
    <x v="0"/>
    <x v="2"/>
    <s v="P. Singh"/>
  </r>
  <r>
    <s v="T100814"/>
    <x v="250"/>
    <x v="7"/>
    <x v="24"/>
    <x v="1"/>
    <s v="Delhi"/>
    <x v="2"/>
    <s v="Loan"/>
    <n v="0"/>
    <n v="0"/>
    <n v="834926"/>
    <n v="0"/>
    <n v="0"/>
    <x v="358"/>
    <n v="64"/>
    <s v="Female"/>
    <n v="1435925"/>
    <x v="0"/>
    <x v="1"/>
    <s v="N. Rao"/>
  </r>
  <r>
    <s v="T100815"/>
    <x v="187"/>
    <x v="10"/>
    <x v="125"/>
    <x v="1"/>
    <s v="Karnataka"/>
    <x v="3"/>
    <s v="Loan"/>
    <n v="0"/>
    <n v="0"/>
    <n v="1608382"/>
    <n v="0"/>
    <n v="0"/>
    <x v="100"/>
    <n v="57"/>
    <s v="Male"/>
    <n v="301026"/>
    <x v="1"/>
    <x v="2"/>
    <s v="N. Rao"/>
  </r>
  <r>
    <s v="T100816"/>
    <x v="279"/>
    <x v="11"/>
    <x v="12"/>
    <x v="1"/>
    <s v="Maharashtra"/>
    <x v="1"/>
    <s v="Deposit"/>
    <n v="133555"/>
    <n v="0"/>
    <n v="0"/>
    <n v="0"/>
    <n v="0"/>
    <x v="140"/>
    <n v="70"/>
    <s v="Female"/>
    <n v="540768"/>
    <x v="0"/>
    <x v="0"/>
    <s v="P. Singh"/>
  </r>
  <r>
    <s v="T100817"/>
    <x v="322"/>
    <x v="6"/>
    <x v="21"/>
    <x v="3"/>
    <s v="Karnataka"/>
    <x v="2"/>
    <s v="Deposit"/>
    <n v="102881"/>
    <n v="0"/>
    <n v="0"/>
    <n v="0"/>
    <n v="0"/>
    <x v="446"/>
    <n v="63"/>
    <s v="Female"/>
    <n v="1325101"/>
    <x v="0"/>
    <x v="0"/>
    <s v="S. Kumar"/>
  </r>
  <r>
    <s v="T100818"/>
    <x v="81"/>
    <x v="4"/>
    <x v="14"/>
    <x v="1"/>
    <s v="Telangana"/>
    <x v="1"/>
    <s v="EMI"/>
    <n v="0"/>
    <n v="0"/>
    <n v="0"/>
    <n v="42448"/>
    <n v="0"/>
    <x v="439"/>
    <n v="56"/>
    <s v="Female"/>
    <n v="1292405"/>
    <x v="0"/>
    <x v="4"/>
    <s v="N. Rao"/>
  </r>
  <r>
    <s v="T100819"/>
    <x v="73"/>
    <x v="6"/>
    <x v="111"/>
    <x v="5"/>
    <s v="Delhi"/>
    <x v="1"/>
    <s v="EMI"/>
    <n v="0"/>
    <n v="0"/>
    <n v="0"/>
    <n v="10498"/>
    <n v="0"/>
    <x v="406"/>
    <n v="53"/>
    <s v="Male"/>
    <n v="1418255"/>
    <x v="0"/>
    <x v="3"/>
    <s v="N. Rao"/>
  </r>
  <r>
    <s v="T100820"/>
    <x v="252"/>
    <x v="5"/>
    <x v="147"/>
    <x v="2"/>
    <s v="Telangana"/>
    <x v="2"/>
    <s v="Interest"/>
    <n v="0"/>
    <n v="0"/>
    <n v="0"/>
    <n v="0"/>
    <n v="7985.02"/>
    <x v="261"/>
    <n v="19"/>
    <s v="Female"/>
    <n v="1252083"/>
    <x v="1"/>
    <x v="0"/>
    <s v="R. Patel"/>
  </r>
  <r>
    <s v="T100821"/>
    <x v="178"/>
    <x v="0"/>
    <x v="75"/>
    <x v="1"/>
    <s v="Tamil Nadu"/>
    <x v="0"/>
    <s v="Deposit"/>
    <n v="61202"/>
    <n v="0"/>
    <n v="0"/>
    <n v="0"/>
    <n v="0"/>
    <x v="416"/>
    <n v="59"/>
    <s v="Male"/>
    <n v="2913837"/>
    <x v="0"/>
    <x v="0"/>
    <s v="R. Patel"/>
  </r>
  <r>
    <s v="T100822"/>
    <x v="166"/>
    <x v="10"/>
    <x v="238"/>
    <x v="1"/>
    <s v="Telangana"/>
    <x v="2"/>
    <s v="Withdrawal"/>
    <n v="0"/>
    <n v="96461"/>
    <n v="0"/>
    <n v="0"/>
    <n v="0"/>
    <x v="23"/>
    <n v="49"/>
    <s v="Female"/>
    <n v="2220333"/>
    <x v="0"/>
    <x v="0"/>
    <s v="A. Sharma"/>
  </r>
  <r>
    <s v="T100823"/>
    <x v="79"/>
    <x v="0"/>
    <x v="5"/>
    <x v="3"/>
    <s v="Delhi"/>
    <x v="1"/>
    <s v="Interest"/>
    <n v="0"/>
    <n v="0"/>
    <n v="0"/>
    <n v="0"/>
    <n v="387.43"/>
    <x v="22"/>
    <n v="26"/>
    <s v="Female"/>
    <n v="1153723"/>
    <x v="1"/>
    <x v="0"/>
    <s v="R. Patel"/>
  </r>
  <r>
    <s v="T100824"/>
    <x v="188"/>
    <x v="5"/>
    <x v="227"/>
    <x v="5"/>
    <s v="Karnataka"/>
    <x v="0"/>
    <s v="EMI"/>
    <n v="0"/>
    <n v="0"/>
    <n v="0"/>
    <n v="17348"/>
    <n v="0"/>
    <x v="309"/>
    <n v="61"/>
    <s v="Male"/>
    <n v="1506452"/>
    <x v="0"/>
    <x v="3"/>
    <s v="P. Singh"/>
  </r>
  <r>
    <s v="T100825"/>
    <x v="311"/>
    <x v="10"/>
    <x v="93"/>
    <x v="0"/>
    <s v="Karnataka"/>
    <x v="1"/>
    <s v="Loan"/>
    <n v="0"/>
    <n v="0"/>
    <n v="239060"/>
    <n v="0"/>
    <n v="0"/>
    <x v="277"/>
    <n v="22"/>
    <s v="Female"/>
    <n v="1705683"/>
    <x v="0"/>
    <x v="2"/>
    <s v="A. Sharma"/>
  </r>
  <r>
    <s v="T100826"/>
    <x v="306"/>
    <x v="6"/>
    <x v="75"/>
    <x v="4"/>
    <s v="Tamil Nadu"/>
    <x v="2"/>
    <s v="Deposit"/>
    <n v="44375"/>
    <n v="0"/>
    <n v="0"/>
    <n v="0"/>
    <n v="0"/>
    <x v="295"/>
    <n v="44"/>
    <s v="Female"/>
    <n v="1972414"/>
    <x v="1"/>
    <x v="0"/>
    <s v="S. Kumar"/>
  </r>
  <r>
    <s v="T100827"/>
    <x v="12"/>
    <x v="1"/>
    <x v="242"/>
    <x v="3"/>
    <s v="Tamil Nadu"/>
    <x v="2"/>
    <s v="Deposit"/>
    <n v="188718"/>
    <n v="0"/>
    <n v="0"/>
    <n v="0"/>
    <n v="0"/>
    <x v="5"/>
    <n v="61"/>
    <s v="Male"/>
    <n v="1972533"/>
    <x v="0"/>
    <x v="0"/>
    <s v="S. Kumar"/>
  </r>
  <r>
    <s v="T100828"/>
    <x v="258"/>
    <x v="2"/>
    <x v="246"/>
    <x v="5"/>
    <s v="Tamil Nadu"/>
    <x v="1"/>
    <s v="EMI"/>
    <n v="0"/>
    <n v="0"/>
    <n v="0"/>
    <n v="24389"/>
    <n v="0"/>
    <x v="447"/>
    <n v="32"/>
    <s v="Male"/>
    <n v="2366722"/>
    <x v="1"/>
    <x v="1"/>
    <s v="A. Sharma"/>
  </r>
  <r>
    <s v="T100830"/>
    <x v="323"/>
    <x v="6"/>
    <x v="167"/>
    <x v="4"/>
    <s v="Delhi"/>
    <x v="1"/>
    <s v="Withdrawal"/>
    <n v="0"/>
    <n v="73000"/>
    <n v="0"/>
    <n v="0"/>
    <n v="0"/>
    <x v="5"/>
    <n v="36"/>
    <s v="Female"/>
    <n v="487903"/>
    <x v="1"/>
    <x v="0"/>
    <s v="A. Sharma"/>
  </r>
  <r>
    <s v="T100831"/>
    <x v="317"/>
    <x v="3"/>
    <x v="83"/>
    <x v="3"/>
    <s v="Maharashtra"/>
    <x v="0"/>
    <s v="Loan"/>
    <n v="0"/>
    <n v="0"/>
    <n v="1303949"/>
    <n v="0"/>
    <n v="0"/>
    <x v="448"/>
    <n v="65"/>
    <s v="Male"/>
    <n v="637774"/>
    <x v="1"/>
    <x v="1"/>
    <s v="N. Rao"/>
  </r>
  <r>
    <s v="T100832"/>
    <x v="18"/>
    <x v="9"/>
    <x v="188"/>
    <x v="3"/>
    <s v="Delhi"/>
    <x v="3"/>
    <s v="Loan"/>
    <n v="0"/>
    <n v="0"/>
    <n v="1849418"/>
    <n v="0"/>
    <n v="0"/>
    <x v="27"/>
    <n v="47"/>
    <s v="Male"/>
    <n v="2548958"/>
    <x v="0"/>
    <x v="1"/>
    <s v="N. Rao"/>
  </r>
  <r>
    <s v="T100833"/>
    <x v="92"/>
    <x v="5"/>
    <x v="257"/>
    <x v="0"/>
    <s v="Delhi"/>
    <x v="3"/>
    <s v="Deposit"/>
    <n v="90614"/>
    <n v="0"/>
    <n v="0"/>
    <n v="0"/>
    <n v="0"/>
    <x v="306"/>
    <n v="49"/>
    <s v="Male"/>
    <n v="1230665"/>
    <x v="1"/>
    <x v="0"/>
    <s v="N. Rao"/>
  </r>
  <r>
    <s v="T100834"/>
    <x v="115"/>
    <x v="4"/>
    <x v="4"/>
    <x v="3"/>
    <s v="Tamil Nadu"/>
    <x v="1"/>
    <s v="Deposit"/>
    <n v="173759"/>
    <n v="0"/>
    <n v="0"/>
    <n v="0"/>
    <n v="0"/>
    <x v="408"/>
    <n v="54"/>
    <s v="Female"/>
    <n v="270677"/>
    <x v="0"/>
    <x v="0"/>
    <s v="S. Kumar"/>
  </r>
  <r>
    <s v="T100835"/>
    <x v="296"/>
    <x v="11"/>
    <x v="59"/>
    <x v="4"/>
    <s v="Maharashtra"/>
    <x v="2"/>
    <s v="Interest"/>
    <n v="0"/>
    <n v="0"/>
    <n v="0"/>
    <n v="0"/>
    <n v="3952.58"/>
    <x v="143"/>
    <n v="39"/>
    <s v="Female"/>
    <n v="2292484"/>
    <x v="0"/>
    <x v="0"/>
    <s v="R. Patel"/>
  </r>
  <r>
    <s v="T100836"/>
    <x v="142"/>
    <x v="9"/>
    <x v="147"/>
    <x v="5"/>
    <s v="Karnataka"/>
    <x v="0"/>
    <s v="Loan"/>
    <n v="0"/>
    <n v="0"/>
    <n v="1794482"/>
    <n v="0"/>
    <n v="0"/>
    <x v="326"/>
    <n v="35"/>
    <s v="Male"/>
    <n v="658203"/>
    <x v="1"/>
    <x v="1"/>
    <s v="R. Patel"/>
  </r>
  <r>
    <s v="T100837"/>
    <x v="65"/>
    <x v="2"/>
    <x v="110"/>
    <x v="2"/>
    <s v="Tamil Nadu"/>
    <x v="0"/>
    <s v="Withdrawal"/>
    <n v="0"/>
    <n v="49744"/>
    <n v="0"/>
    <n v="0"/>
    <n v="0"/>
    <x v="433"/>
    <n v="19"/>
    <s v="Female"/>
    <n v="2254999"/>
    <x v="1"/>
    <x v="0"/>
    <s v="P. Singh"/>
  </r>
  <r>
    <s v="T100838"/>
    <x v="172"/>
    <x v="6"/>
    <x v="130"/>
    <x v="0"/>
    <s v="Delhi"/>
    <x v="1"/>
    <s v="EMI"/>
    <n v="0"/>
    <n v="0"/>
    <n v="0"/>
    <n v="28174"/>
    <n v="0"/>
    <x v="217"/>
    <n v="36"/>
    <s v="Female"/>
    <n v="453221"/>
    <x v="1"/>
    <x v="3"/>
    <s v="N. Rao"/>
  </r>
  <r>
    <s v="T100839"/>
    <x v="212"/>
    <x v="0"/>
    <x v="155"/>
    <x v="3"/>
    <s v="Maharashtra"/>
    <x v="1"/>
    <s v="Withdrawal"/>
    <n v="0"/>
    <n v="12285"/>
    <n v="0"/>
    <n v="0"/>
    <n v="0"/>
    <x v="399"/>
    <n v="68"/>
    <s v="Female"/>
    <n v="710887"/>
    <x v="0"/>
    <x v="0"/>
    <s v="A. Sharma"/>
  </r>
  <r>
    <s v="T100840"/>
    <x v="222"/>
    <x v="9"/>
    <x v="204"/>
    <x v="5"/>
    <s v="Karnataka"/>
    <x v="1"/>
    <s v="Withdrawal"/>
    <n v="0"/>
    <n v="11076"/>
    <n v="0"/>
    <n v="0"/>
    <n v="0"/>
    <x v="449"/>
    <n v="34"/>
    <s v="Male"/>
    <n v="1654154"/>
    <x v="0"/>
    <x v="0"/>
    <s v="N. Rao"/>
  </r>
  <r>
    <s v="T100841"/>
    <x v="24"/>
    <x v="8"/>
    <x v="17"/>
    <x v="2"/>
    <s v="Maharashtra"/>
    <x v="2"/>
    <s v="Deposit"/>
    <n v="90607"/>
    <n v="0"/>
    <n v="0"/>
    <n v="0"/>
    <n v="0"/>
    <x v="432"/>
    <n v="27"/>
    <s v="Male"/>
    <n v="1928703"/>
    <x v="0"/>
    <x v="0"/>
    <s v="R. Patel"/>
  </r>
  <r>
    <s v="T100842"/>
    <x v="324"/>
    <x v="1"/>
    <x v="269"/>
    <x v="5"/>
    <s v="Karnataka"/>
    <x v="2"/>
    <s v="Withdrawal"/>
    <n v="0"/>
    <n v="72639"/>
    <n v="0"/>
    <n v="0"/>
    <n v="0"/>
    <x v="114"/>
    <n v="62"/>
    <s v="Male"/>
    <n v="1645833"/>
    <x v="1"/>
    <x v="0"/>
    <s v="N. Rao"/>
  </r>
  <r>
    <s v="T100843"/>
    <x v="134"/>
    <x v="4"/>
    <x v="113"/>
    <x v="1"/>
    <s v="Telangana"/>
    <x v="0"/>
    <s v="Deposit"/>
    <n v="121056"/>
    <n v="0"/>
    <n v="0"/>
    <n v="0"/>
    <n v="0"/>
    <x v="175"/>
    <n v="24"/>
    <s v="Male"/>
    <n v="2261499"/>
    <x v="1"/>
    <x v="0"/>
    <s v="S. Kumar"/>
  </r>
  <r>
    <s v="T100844"/>
    <x v="268"/>
    <x v="7"/>
    <x v="55"/>
    <x v="4"/>
    <s v="Karnataka"/>
    <x v="2"/>
    <s v="Withdrawal"/>
    <n v="0"/>
    <n v="62234"/>
    <n v="0"/>
    <n v="0"/>
    <n v="0"/>
    <x v="441"/>
    <n v="62"/>
    <s v="Female"/>
    <n v="2281981"/>
    <x v="1"/>
    <x v="0"/>
    <s v="A. Sharma"/>
  </r>
  <r>
    <s v="T100845"/>
    <x v="163"/>
    <x v="3"/>
    <x v="115"/>
    <x v="4"/>
    <s v="Maharashtra"/>
    <x v="0"/>
    <s v="Deposit"/>
    <n v="10195"/>
    <n v="0"/>
    <n v="0"/>
    <n v="0"/>
    <n v="0"/>
    <x v="197"/>
    <n v="58"/>
    <s v="Male"/>
    <n v="2223859"/>
    <x v="0"/>
    <x v="0"/>
    <s v="P. Singh"/>
  </r>
  <r>
    <s v="T100846"/>
    <x v="111"/>
    <x v="0"/>
    <x v="107"/>
    <x v="5"/>
    <s v="Delhi"/>
    <x v="3"/>
    <s v="Deposit"/>
    <n v="160531"/>
    <n v="0"/>
    <n v="0"/>
    <n v="0"/>
    <n v="0"/>
    <x v="169"/>
    <n v="53"/>
    <s v="Male"/>
    <n v="2353104"/>
    <x v="0"/>
    <x v="0"/>
    <s v="R. Patel"/>
  </r>
  <r>
    <s v="T100847"/>
    <x v="50"/>
    <x v="9"/>
    <x v="64"/>
    <x v="5"/>
    <s v="Karnataka"/>
    <x v="3"/>
    <s v="Interest"/>
    <n v="0"/>
    <n v="0"/>
    <n v="0"/>
    <n v="0"/>
    <n v="3692.2"/>
    <x v="450"/>
    <n v="39"/>
    <s v="Male"/>
    <n v="2350826"/>
    <x v="1"/>
    <x v="0"/>
    <s v="R. Patel"/>
  </r>
  <r>
    <s v="T100848"/>
    <x v="268"/>
    <x v="7"/>
    <x v="152"/>
    <x v="1"/>
    <s v="Karnataka"/>
    <x v="1"/>
    <s v="EMI"/>
    <n v="0"/>
    <n v="0"/>
    <n v="0"/>
    <n v="6651"/>
    <n v="0"/>
    <x v="341"/>
    <n v="19"/>
    <s v="Male"/>
    <n v="1200695"/>
    <x v="1"/>
    <x v="1"/>
    <s v="R. Patel"/>
  </r>
  <r>
    <s v="T100849"/>
    <x v="110"/>
    <x v="1"/>
    <x v="186"/>
    <x v="4"/>
    <s v="Maharashtra"/>
    <x v="2"/>
    <s v="Deposit"/>
    <n v="73065"/>
    <n v="0"/>
    <n v="0"/>
    <n v="0"/>
    <n v="0"/>
    <x v="380"/>
    <n v="28"/>
    <s v="Male"/>
    <n v="2052745"/>
    <x v="0"/>
    <x v="0"/>
    <s v="P. Singh"/>
  </r>
  <r>
    <s v="T100850"/>
    <x v="249"/>
    <x v="7"/>
    <x v="244"/>
    <x v="3"/>
    <s v="Karnataka"/>
    <x v="1"/>
    <s v="EMI"/>
    <n v="0"/>
    <n v="0"/>
    <n v="0"/>
    <n v="4516"/>
    <n v="0"/>
    <x v="157"/>
    <n v="34"/>
    <s v="Male"/>
    <n v="2468187"/>
    <x v="1"/>
    <x v="3"/>
    <s v="R. Patel"/>
  </r>
  <r>
    <s v="T100851"/>
    <x v="173"/>
    <x v="10"/>
    <x v="124"/>
    <x v="3"/>
    <s v="Tamil Nadu"/>
    <x v="3"/>
    <s v="EMI"/>
    <n v="0"/>
    <n v="0"/>
    <n v="0"/>
    <n v="39331"/>
    <n v="0"/>
    <x v="451"/>
    <n v="19"/>
    <s v="Male"/>
    <n v="876563"/>
    <x v="0"/>
    <x v="1"/>
    <s v="S. Kumar"/>
  </r>
  <r>
    <s v="T100852"/>
    <x v="301"/>
    <x v="5"/>
    <x v="132"/>
    <x v="3"/>
    <s v="Maharashtra"/>
    <x v="2"/>
    <s v="Withdrawal"/>
    <n v="0"/>
    <n v="81666"/>
    <n v="0"/>
    <n v="0"/>
    <n v="0"/>
    <x v="390"/>
    <n v="69"/>
    <s v="Male"/>
    <n v="631800"/>
    <x v="1"/>
    <x v="0"/>
    <s v="R. Patel"/>
  </r>
  <r>
    <s v="T100853"/>
    <x v="104"/>
    <x v="10"/>
    <x v="159"/>
    <x v="3"/>
    <s v="Delhi"/>
    <x v="0"/>
    <s v="EMI"/>
    <n v="0"/>
    <n v="0"/>
    <n v="0"/>
    <n v="19944"/>
    <n v="0"/>
    <x v="452"/>
    <n v="24"/>
    <s v="Female"/>
    <n v="2590259"/>
    <x v="1"/>
    <x v="4"/>
    <s v="R. Patel"/>
  </r>
  <r>
    <s v="T100854"/>
    <x v="325"/>
    <x v="7"/>
    <x v="109"/>
    <x v="1"/>
    <s v="Maharashtra"/>
    <x v="3"/>
    <s v="Withdrawal"/>
    <n v="0"/>
    <n v="90116"/>
    <n v="0"/>
    <n v="0"/>
    <n v="0"/>
    <x v="159"/>
    <n v="40"/>
    <s v="Male"/>
    <n v="1465171"/>
    <x v="1"/>
    <x v="0"/>
    <s v="S. Kumar"/>
  </r>
  <r>
    <s v="T100855"/>
    <x v="326"/>
    <x v="9"/>
    <x v="273"/>
    <x v="0"/>
    <s v="Tamil Nadu"/>
    <x v="3"/>
    <s v="Interest"/>
    <n v="0"/>
    <n v="0"/>
    <n v="0"/>
    <n v="0"/>
    <n v="9051.02"/>
    <x v="453"/>
    <n v="30"/>
    <s v="Male"/>
    <n v="441141"/>
    <x v="1"/>
    <x v="0"/>
    <s v="A. Sharma"/>
  </r>
  <r>
    <s v="T100856"/>
    <x v="282"/>
    <x v="4"/>
    <x v="85"/>
    <x v="0"/>
    <s v="Delhi"/>
    <x v="0"/>
    <s v="Interest"/>
    <n v="0"/>
    <n v="0"/>
    <n v="0"/>
    <n v="0"/>
    <n v="7494.84"/>
    <x v="454"/>
    <n v="55"/>
    <s v="Male"/>
    <n v="1010182"/>
    <x v="1"/>
    <x v="0"/>
    <s v="R. Patel"/>
  </r>
  <r>
    <s v="T100857"/>
    <x v="165"/>
    <x v="2"/>
    <x v="185"/>
    <x v="4"/>
    <s v="Telangana"/>
    <x v="0"/>
    <s v="Interest"/>
    <n v="0"/>
    <n v="0"/>
    <n v="0"/>
    <n v="0"/>
    <n v="5479.86"/>
    <x v="352"/>
    <n v="21"/>
    <s v="Male"/>
    <n v="1900790"/>
    <x v="0"/>
    <x v="0"/>
    <s v="P. Singh"/>
  </r>
  <r>
    <s v="T100858"/>
    <x v="298"/>
    <x v="10"/>
    <x v="113"/>
    <x v="3"/>
    <s v="Delhi"/>
    <x v="3"/>
    <s v="Interest"/>
    <n v="0"/>
    <n v="0"/>
    <n v="0"/>
    <n v="0"/>
    <n v="7669.98"/>
    <x v="2"/>
    <n v="69"/>
    <s v="Male"/>
    <n v="896836"/>
    <x v="0"/>
    <x v="0"/>
    <s v="A. Sharma"/>
  </r>
  <r>
    <s v="T100859"/>
    <x v="327"/>
    <x v="9"/>
    <x v="195"/>
    <x v="2"/>
    <s v="Tamil Nadu"/>
    <x v="3"/>
    <s v="Deposit"/>
    <n v="29658"/>
    <n v="0"/>
    <n v="0"/>
    <n v="0"/>
    <n v="0"/>
    <x v="360"/>
    <n v="28"/>
    <s v="Male"/>
    <n v="1600600"/>
    <x v="1"/>
    <x v="0"/>
    <s v="R. Patel"/>
  </r>
  <r>
    <s v="T100860"/>
    <x v="283"/>
    <x v="0"/>
    <x v="194"/>
    <x v="3"/>
    <s v="Tamil Nadu"/>
    <x v="0"/>
    <s v="Loan"/>
    <n v="0"/>
    <n v="0"/>
    <n v="680979"/>
    <n v="0"/>
    <n v="0"/>
    <x v="455"/>
    <n v="19"/>
    <s v="Female"/>
    <n v="365102"/>
    <x v="1"/>
    <x v="1"/>
    <s v="A. Sharma"/>
  </r>
  <r>
    <s v="T100861"/>
    <x v="328"/>
    <x v="4"/>
    <x v="244"/>
    <x v="6"/>
    <s v="Maharashtra"/>
    <x v="2"/>
    <s v="Loan"/>
    <n v="0"/>
    <n v="0"/>
    <n v="51271"/>
    <n v="0"/>
    <n v="0"/>
    <x v="456"/>
    <n v="42"/>
    <s v="Female"/>
    <n v="2596297"/>
    <x v="1"/>
    <x v="2"/>
    <s v="A. Sharma"/>
  </r>
  <r>
    <s v="T100862"/>
    <x v="281"/>
    <x v="0"/>
    <x v="276"/>
    <x v="4"/>
    <s v="Telangana"/>
    <x v="1"/>
    <s v="Withdrawal"/>
    <n v="0"/>
    <n v="90492"/>
    <n v="0"/>
    <n v="0"/>
    <n v="0"/>
    <x v="404"/>
    <n v="59"/>
    <s v="Male"/>
    <n v="259642"/>
    <x v="0"/>
    <x v="0"/>
    <s v="R. Patel"/>
  </r>
  <r>
    <s v="T100863"/>
    <x v="198"/>
    <x v="8"/>
    <x v="213"/>
    <x v="1"/>
    <s v="Telangana"/>
    <x v="0"/>
    <s v="Interest"/>
    <n v="0"/>
    <n v="0"/>
    <n v="0"/>
    <n v="0"/>
    <n v="3953.76"/>
    <x v="97"/>
    <n v="33"/>
    <s v="Male"/>
    <n v="2577226"/>
    <x v="0"/>
    <x v="0"/>
    <s v="S. Kumar"/>
  </r>
  <r>
    <s v="T100864"/>
    <x v="233"/>
    <x v="3"/>
    <x v="53"/>
    <x v="4"/>
    <s v="Telangana"/>
    <x v="2"/>
    <s v="Loan"/>
    <n v="0"/>
    <n v="0"/>
    <n v="1549068"/>
    <n v="0"/>
    <n v="0"/>
    <x v="352"/>
    <n v="60"/>
    <s v="Female"/>
    <n v="1173933"/>
    <x v="1"/>
    <x v="2"/>
    <s v="S. Kumar"/>
  </r>
  <r>
    <s v="T100865"/>
    <x v="33"/>
    <x v="0"/>
    <x v="258"/>
    <x v="1"/>
    <s v="Karnataka"/>
    <x v="3"/>
    <s v="Loan"/>
    <n v="0"/>
    <n v="0"/>
    <n v="1984932"/>
    <n v="0"/>
    <n v="0"/>
    <x v="161"/>
    <n v="64"/>
    <s v="Male"/>
    <n v="2574066"/>
    <x v="1"/>
    <x v="2"/>
    <s v="R. Patel"/>
  </r>
  <r>
    <s v="T100866"/>
    <x v="101"/>
    <x v="5"/>
    <x v="247"/>
    <x v="3"/>
    <s v="Karnataka"/>
    <x v="1"/>
    <s v="EMI"/>
    <n v="0"/>
    <n v="0"/>
    <n v="0"/>
    <n v="48998"/>
    <n v="0"/>
    <x v="457"/>
    <n v="63"/>
    <s v="Female"/>
    <n v="606911"/>
    <x v="0"/>
    <x v="3"/>
    <s v="S. Kumar"/>
  </r>
  <r>
    <s v="T100867"/>
    <x v="14"/>
    <x v="0"/>
    <x v="34"/>
    <x v="0"/>
    <s v="Telangana"/>
    <x v="1"/>
    <s v="Interest"/>
    <n v="0"/>
    <n v="0"/>
    <n v="0"/>
    <n v="0"/>
    <n v="818.15"/>
    <x v="458"/>
    <n v="57"/>
    <s v="Female"/>
    <n v="837387"/>
    <x v="0"/>
    <x v="0"/>
    <s v="R. Patel"/>
  </r>
  <r>
    <s v="T100868"/>
    <x v="120"/>
    <x v="6"/>
    <x v="207"/>
    <x v="4"/>
    <s v="Telangana"/>
    <x v="0"/>
    <s v="Withdrawal"/>
    <n v="0"/>
    <n v="90908"/>
    <n v="0"/>
    <n v="0"/>
    <n v="0"/>
    <x v="459"/>
    <n v="46"/>
    <s v="Female"/>
    <n v="1159226"/>
    <x v="0"/>
    <x v="0"/>
    <s v="A. Sharma"/>
  </r>
  <r>
    <s v="T100869"/>
    <x v="265"/>
    <x v="3"/>
    <x v="272"/>
    <x v="4"/>
    <s v="Karnataka"/>
    <x v="1"/>
    <s v="EMI"/>
    <n v="0"/>
    <n v="0"/>
    <n v="0"/>
    <n v="15098"/>
    <n v="0"/>
    <x v="9"/>
    <n v="63"/>
    <s v="Female"/>
    <n v="2070556"/>
    <x v="1"/>
    <x v="3"/>
    <s v="P. Singh"/>
  </r>
  <r>
    <s v="T100870"/>
    <x v="190"/>
    <x v="3"/>
    <x v="48"/>
    <x v="1"/>
    <s v="Maharashtra"/>
    <x v="3"/>
    <s v="EMI"/>
    <n v="0"/>
    <n v="0"/>
    <n v="0"/>
    <n v="23427"/>
    <n v="0"/>
    <x v="460"/>
    <n v="52"/>
    <s v="Female"/>
    <n v="1794512"/>
    <x v="0"/>
    <x v="3"/>
    <s v="A. Sharma"/>
  </r>
  <r>
    <s v="T100871"/>
    <x v="329"/>
    <x v="9"/>
    <x v="181"/>
    <x v="1"/>
    <s v="Tamil Nadu"/>
    <x v="1"/>
    <s v="Interest"/>
    <n v="0"/>
    <n v="0"/>
    <n v="0"/>
    <n v="0"/>
    <n v="4002.4"/>
    <x v="59"/>
    <n v="37"/>
    <s v="Male"/>
    <n v="1458087"/>
    <x v="1"/>
    <x v="0"/>
    <s v="N. Rao"/>
  </r>
  <r>
    <s v="T100872"/>
    <x v="54"/>
    <x v="7"/>
    <x v="50"/>
    <x v="3"/>
    <s v="Telangana"/>
    <x v="1"/>
    <s v="Loan"/>
    <n v="0"/>
    <n v="0"/>
    <n v="1752248"/>
    <n v="0"/>
    <n v="0"/>
    <x v="151"/>
    <n v="19"/>
    <s v="Male"/>
    <n v="783567"/>
    <x v="1"/>
    <x v="2"/>
    <s v="R. Patel"/>
  </r>
  <r>
    <s v="T100873"/>
    <x v="182"/>
    <x v="11"/>
    <x v="216"/>
    <x v="1"/>
    <s v="Tamil Nadu"/>
    <x v="1"/>
    <s v="Loan"/>
    <n v="0"/>
    <n v="0"/>
    <n v="1774908"/>
    <n v="0"/>
    <n v="0"/>
    <x v="246"/>
    <n v="50"/>
    <s v="Male"/>
    <n v="2777793"/>
    <x v="1"/>
    <x v="1"/>
    <s v="A. Sharma"/>
  </r>
  <r>
    <s v="T100874"/>
    <x v="114"/>
    <x v="1"/>
    <x v="241"/>
    <x v="2"/>
    <s v="Tamil Nadu"/>
    <x v="1"/>
    <s v="Deposit"/>
    <n v="12764"/>
    <n v="0"/>
    <n v="0"/>
    <n v="0"/>
    <n v="0"/>
    <x v="461"/>
    <n v="54"/>
    <s v="Male"/>
    <n v="1400212"/>
    <x v="1"/>
    <x v="0"/>
    <s v="S. Kumar"/>
  </r>
  <r>
    <s v="T100875"/>
    <x v="134"/>
    <x v="4"/>
    <x v="59"/>
    <x v="3"/>
    <s v="Maharashtra"/>
    <x v="1"/>
    <s v="Loan"/>
    <n v="0"/>
    <n v="0"/>
    <n v="553666"/>
    <n v="0"/>
    <n v="0"/>
    <x v="462"/>
    <n v="20"/>
    <s v="Female"/>
    <n v="2890590"/>
    <x v="1"/>
    <x v="2"/>
    <s v="A. Sharma"/>
  </r>
  <r>
    <s v="T100876"/>
    <x v="213"/>
    <x v="3"/>
    <x v="277"/>
    <x v="0"/>
    <s v="Karnataka"/>
    <x v="3"/>
    <s v="Withdrawal"/>
    <n v="0"/>
    <n v="23394"/>
    <n v="0"/>
    <n v="0"/>
    <n v="0"/>
    <x v="463"/>
    <n v="50"/>
    <s v="Female"/>
    <n v="1396373"/>
    <x v="1"/>
    <x v="0"/>
    <s v="P. Singh"/>
  </r>
  <r>
    <s v="T100877"/>
    <x v="266"/>
    <x v="6"/>
    <x v="42"/>
    <x v="4"/>
    <s v="Delhi"/>
    <x v="2"/>
    <s v="EMI"/>
    <n v="0"/>
    <n v="0"/>
    <n v="0"/>
    <n v="19817"/>
    <n v="0"/>
    <x v="464"/>
    <n v="70"/>
    <s v="Male"/>
    <n v="604643"/>
    <x v="1"/>
    <x v="4"/>
    <s v="N. Rao"/>
  </r>
  <r>
    <s v="T100878"/>
    <x v="121"/>
    <x v="10"/>
    <x v="135"/>
    <x v="5"/>
    <s v="Delhi"/>
    <x v="2"/>
    <s v="Deposit"/>
    <n v="27574"/>
    <n v="0"/>
    <n v="0"/>
    <n v="0"/>
    <n v="0"/>
    <x v="266"/>
    <n v="61"/>
    <s v="Female"/>
    <n v="2528732"/>
    <x v="0"/>
    <x v="0"/>
    <s v="A. Sharma"/>
  </r>
  <r>
    <s v="T100879"/>
    <x v="127"/>
    <x v="9"/>
    <x v="278"/>
    <x v="1"/>
    <s v="Maharashtra"/>
    <x v="3"/>
    <s v="Deposit"/>
    <n v="9332"/>
    <n v="0"/>
    <n v="0"/>
    <n v="0"/>
    <n v="0"/>
    <x v="334"/>
    <n v="36"/>
    <s v="Female"/>
    <n v="590641"/>
    <x v="0"/>
    <x v="0"/>
    <s v="N. Rao"/>
  </r>
  <r>
    <s v="T100880"/>
    <x v="168"/>
    <x v="6"/>
    <x v="271"/>
    <x v="3"/>
    <s v="Delhi"/>
    <x v="0"/>
    <s v="Withdrawal"/>
    <n v="0"/>
    <n v="48397"/>
    <n v="0"/>
    <n v="0"/>
    <n v="0"/>
    <x v="465"/>
    <n v="33"/>
    <s v="Male"/>
    <n v="2296629"/>
    <x v="0"/>
    <x v="0"/>
    <s v="P. Singh"/>
  </r>
  <r>
    <s v="T100881"/>
    <x v="330"/>
    <x v="9"/>
    <x v="243"/>
    <x v="1"/>
    <s v="Maharashtra"/>
    <x v="2"/>
    <s v="Interest"/>
    <n v="0"/>
    <n v="0"/>
    <n v="0"/>
    <n v="0"/>
    <n v="997.62"/>
    <x v="466"/>
    <n v="32"/>
    <s v="Male"/>
    <n v="2359209"/>
    <x v="0"/>
    <x v="0"/>
    <s v="N. Rao"/>
  </r>
  <r>
    <s v="T100882"/>
    <x v="7"/>
    <x v="6"/>
    <x v="240"/>
    <x v="4"/>
    <s v="Delhi"/>
    <x v="1"/>
    <s v="Interest"/>
    <n v="0"/>
    <n v="0"/>
    <n v="0"/>
    <n v="0"/>
    <n v="4512.05"/>
    <x v="467"/>
    <n v="62"/>
    <s v="Female"/>
    <n v="1519660"/>
    <x v="1"/>
    <x v="0"/>
    <s v="S. Kumar"/>
  </r>
  <r>
    <s v="T100883"/>
    <x v="154"/>
    <x v="3"/>
    <x v="67"/>
    <x v="3"/>
    <s v="Karnataka"/>
    <x v="0"/>
    <s v="EMI"/>
    <n v="0"/>
    <n v="0"/>
    <n v="0"/>
    <n v="19991"/>
    <n v="0"/>
    <x v="122"/>
    <n v="27"/>
    <s v="Male"/>
    <n v="413247"/>
    <x v="0"/>
    <x v="1"/>
    <s v="A. Sharma"/>
  </r>
  <r>
    <s v="T100884"/>
    <x v="298"/>
    <x v="10"/>
    <x v="29"/>
    <x v="3"/>
    <s v="Delhi"/>
    <x v="0"/>
    <s v="Deposit"/>
    <n v="79263"/>
    <n v="0"/>
    <n v="0"/>
    <n v="0"/>
    <n v="0"/>
    <x v="97"/>
    <n v="24"/>
    <s v="Female"/>
    <n v="2496127"/>
    <x v="1"/>
    <x v="0"/>
    <s v="A. Sharma"/>
  </r>
  <r>
    <s v="T100885"/>
    <x v="120"/>
    <x v="6"/>
    <x v="144"/>
    <x v="1"/>
    <s v="Karnataka"/>
    <x v="3"/>
    <s v="Interest"/>
    <n v="0"/>
    <n v="0"/>
    <n v="0"/>
    <n v="0"/>
    <n v="4579.0200000000004"/>
    <x v="117"/>
    <n v="35"/>
    <s v="Female"/>
    <n v="1673089"/>
    <x v="1"/>
    <x v="0"/>
    <s v="S. Kumar"/>
  </r>
  <r>
    <s v="T100886"/>
    <x v="331"/>
    <x v="7"/>
    <x v="26"/>
    <x v="2"/>
    <s v="Karnataka"/>
    <x v="0"/>
    <s v="EMI"/>
    <n v="0"/>
    <n v="0"/>
    <n v="0"/>
    <n v="29499"/>
    <n v="0"/>
    <x v="468"/>
    <n v="68"/>
    <s v="Male"/>
    <n v="245119"/>
    <x v="0"/>
    <x v="1"/>
    <s v="R. Patel"/>
  </r>
  <r>
    <s v="T100887"/>
    <x v="332"/>
    <x v="7"/>
    <x v="190"/>
    <x v="5"/>
    <s v="Maharashtra"/>
    <x v="3"/>
    <s v="Deposit"/>
    <n v="61793"/>
    <n v="0"/>
    <n v="0"/>
    <n v="0"/>
    <n v="0"/>
    <x v="469"/>
    <n v="37"/>
    <s v="Female"/>
    <n v="2344551"/>
    <x v="0"/>
    <x v="0"/>
    <s v="N. Rao"/>
  </r>
  <r>
    <s v="T100888"/>
    <x v="34"/>
    <x v="5"/>
    <x v="50"/>
    <x v="5"/>
    <s v="Delhi"/>
    <x v="0"/>
    <s v="Loan"/>
    <n v="0"/>
    <n v="0"/>
    <n v="0"/>
    <n v="0"/>
    <n v="0"/>
    <x v="436"/>
    <n v="23"/>
    <s v="Female"/>
    <n v="2593481"/>
    <x v="0"/>
    <x v="2"/>
    <s v="P. Singh"/>
  </r>
  <r>
    <s v="T100889"/>
    <x v="8"/>
    <x v="3"/>
    <x v="66"/>
    <x v="5"/>
    <s v="Karnataka"/>
    <x v="0"/>
    <s v="Loan"/>
    <n v="0"/>
    <n v="0"/>
    <n v="399634"/>
    <n v="0"/>
    <n v="0"/>
    <x v="470"/>
    <n v="56"/>
    <s v="Male"/>
    <n v="986937"/>
    <x v="0"/>
    <x v="2"/>
    <s v="P. Singh"/>
  </r>
  <r>
    <s v="T100890"/>
    <x v="122"/>
    <x v="10"/>
    <x v="70"/>
    <x v="3"/>
    <s v="Delhi"/>
    <x v="0"/>
    <s v="Withdrawal"/>
    <n v="0"/>
    <n v="79430"/>
    <n v="0"/>
    <n v="0"/>
    <n v="0"/>
    <x v="116"/>
    <n v="61"/>
    <s v="Male"/>
    <n v="2951719"/>
    <x v="0"/>
    <x v="0"/>
    <s v="S. Kumar"/>
  </r>
  <r>
    <s v="T100891"/>
    <x v="120"/>
    <x v="6"/>
    <x v="90"/>
    <x v="3"/>
    <s v="Karnataka"/>
    <x v="1"/>
    <s v="Deposit"/>
    <n v="42679"/>
    <n v="0"/>
    <n v="0"/>
    <n v="0"/>
    <n v="0"/>
    <x v="99"/>
    <n v="41"/>
    <s v="Female"/>
    <n v="2631111"/>
    <x v="0"/>
    <x v="0"/>
    <s v="P. Singh"/>
  </r>
  <r>
    <s v="T100892"/>
    <x v="306"/>
    <x v="6"/>
    <x v="117"/>
    <x v="3"/>
    <s v="Maharashtra"/>
    <x v="2"/>
    <s v="EMI"/>
    <n v="0"/>
    <n v="0"/>
    <n v="0"/>
    <n v="43471"/>
    <n v="0"/>
    <x v="471"/>
    <n v="18"/>
    <s v="Male"/>
    <n v="2215204"/>
    <x v="0"/>
    <x v="4"/>
    <s v="N. Rao"/>
  </r>
  <r>
    <s v="T100893"/>
    <x v="228"/>
    <x v="2"/>
    <x v="61"/>
    <x v="0"/>
    <s v="Tamil Nadu"/>
    <x v="2"/>
    <s v="Interest"/>
    <n v="0"/>
    <n v="0"/>
    <n v="0"/>
    <n v="0"/>
    <n v="7976.71"/>
    <x v="472"/>
    <n v="19"/>
    <s v="Female"/>
    <n v="1493815"/>
    <x v="0"/>
    <x v="0"/>
    <s v="R. Patel"/>
  </r>
  <r>
    <s v="T100894"/>
    <x v="228"/>
    <x v="2"/>
    <x v="244"/>
    <x v="0"/>
    <s v="Delhi"/>
    <x v="0"/>
    <s v="Withdrawal"/>
    <n v="0"/>
    <n v="76299"/>
    <n v="0"/>
    <n v="0"/>
    <n v="0"/>
    <x v="160"/>
    <n v="18"/>
    <s v="Female"/>
    <n v="1879082"/>
    <x v="1"/>
    <x v="0"/>
    <s v="N. Rao"/>
  </r>
  <r>
    <s v="T100895"/>
    <x v="333"/>
    <x v="4"/>
    <x v="155"/>
    <x v="3"/>
    <s v="Karnataka"/>
    <x v="0"/>
    <s v="Interest"/>
    <n v="0"/>
    <n v="0"/>
    <n v="0"/>
    <n v="0"/>
    <n v="6547.7"/>
    <x v="88"/>
    <n v="19"/>
    <s v="Female"/>
    <n v="1909274"/>
    <x v="0"/>
    <x v="0"/>
    <s v="R. Patel"/>
  </r>
  <r>
    <s v="T100896"/>
    <x v="208"/>
    <x v="2"/>
    <x v="61"/>
    <x v="4"/>
    <s v="Telangana"/>
    <x v="3"/>
    <s v="Loan"/>
    <n v="0"/>
    <n v="0"/>
    <n v="1201747"/>
    <n v="0"/>
    <n v="0"/>
    <x v="284"/>
    <n v="59"/>
    <s v="Female"/>
    <n v="992472"/>
    <x v="0"/>
    <x v="2"/>
    <s v="A. Sharma"/>
  </r>
  <r>
    <s v="T100897"/>
    <x v="325"/>
    <x v="7"/>
    <x v="175"/>
    <x v="5"/>
    <s v="Tamil Nadu"/>
    <x v="2"/>
    <s v="Deposit"/>
    <n v="46639"/>
    <n v="0"/>
    <n v="0"/>
    <n v="0"/>
    <n v="0"/>
    <x v="214"/>
    <n v="40"/>
    <s v="Male"/>
    <n v="2855473"/>
    <x v="1"/>
    <x v="0"/>
    <s v="R. Patel"/>
  </r>
  <r>
    <s v="T100898"/>
    <x v="230"/>
    <x v="8"/>
    <x v="178"/>
    <x v="3"/>
    <s v="Delhi"/>
    <x v="0"/>
    <s v="EMI"/>
    <n v="0"/>
    <n v="0"/>
    <n v="0"/>
    <n v="3972"/>
    <n v="0"/>
    <x v="157"/>
    <n v="29"/>
    <s v="Female"/>
    <n v="616207"/>
    <x v="1"/>
    <x v="4"/>
    <s v="N. Rao"/>
  </r>
  <r>
    <s v="T100899"/>
    <x v="326"/>
    <x v="9"/>
    <x v="46"/>
    <x v="5"/>
    <s v="Telangana"/>
    <x v="1"/>
    <s v="Withdrawal"/>
    <n v="0"/>
    <n v="3868"/>
    <n v="0"/>
    <n v="0"/>
    <n v="0"/>
    <x v="453"/>
    <n v="43"/>
    <s v="Male"/>
    <n v="339588"/>
    <x v="1"/>
    <x v="0"/>
    <s v="S. Kumar"/>
  </r>
  <r>
    <s v="T100900"/>
    <x v="0"/>
    <x v="0"/>
    <x v="89"/>
    <x v="1"/>
    <s v="Tamil Nadu"/>
    <x v="2"/>
    <s v="Loan"/>
    <n v="0"/>
    <n v="0"/>
    <n v="881776"/>
    <n v="0"/>
    <n v="0"/>
    <x v="473"/>
    <n v="47"/>
    <s v="Male"/>
    <n v="314092"/>
    <x v="0"/>
    <x v="2"/>
    <s v="R. Patel"/>
  </r>
  <r>
    <s v="T100901"/>
    <x v="334"/>
    <x v="8"/>
    <x v="35"/>
    <x v="3"/>
    <s v="Maharashtra"/>
    <x v="2"/>
    <s v="Deposit"/>
    <n v="145870"/>
    <n v="0"/>
    <n v="0"/>
    <n v="0"/>
    <n v="0"/>
    <x v="474"/>
    <n v="29"/>
    <s v="Male"/>
    <n v="2258429"/>
    <x v="0"/>
    <x v="0"/>
    <s v="R. Patel"/>
  </r>
  <r>
    <s v="T100902"/>
    <x v="17"/>
    <x v="4"/>
    <x v="115"/>
    <x v="1"/>
    <s v="Delhi"/>
    <x v="0"/>
    <s v="Withdrawal"/>
    <n v="0"/>
    <n v="70860"/>
    <n v="0"/>
    <n v="0"/>
    <n v="0"/>
    <x v="363"/>
    <n v="41"/>
    <s v="Male"/>
    <n v="1005215"/>
    <x v="1"/>
    <x v="0"/>
    <s v="N. Rao"/>
  </r>
  <r>
    <s v="T100903"/>
    <x v="335"/>
    <x v="11"/>
    <x v="149"/>
    <x v="4"/>
    <s v="Tamil Nadu"/>
    <x v="2"/>
    <s v="Deposit"/>
    <n v="67753"/>
    <n v="0"/>
    <n v="0"/>
    <n v="0"/>
    <n v="0"/>
    <x v="55"/>
    <n v="29"/>
    <s v="Male"/>
    <n v="2466336"/>
    <x v="1"/>
    <x v="0"/>
    <s v="P. Singh"/>
  </r>
  <r>
    <s v="T100904"/>
    <x v="135"/>
    <x v="0"/>
    <x v="54"/>
    <x v="3"/>
    <s v="Telangana"/>
    <x v="0"/>
    <s v="EMI"/>
    <n v="0"/>
    <n v="0"/>
    <n v="0"/>
    <n v="12214"/>
    <n v="0"/>
    <x v="175"/>
    <n v="39"/>
    <s v="Female"/>
    <n v="1799386"/>
    <x v="1"/>
    <x v="4"/>
    <s v="P. Singh"/>
  </r>
  <r>
    <s v="T100905"/>
    <x v="252"/>
    <x v="5"/>
    <x v="246"/>
    <x v="5"/>
    <s v="Maharashtra"/>
    <x v="0"/>
    <s v="Withdrawal"/>
    <n v="0"/>
    <n v="51002"/>
    <n v="0"/>
    <n v="0"/>
    <n v="0"/>
    <x v="404"/>
    <n v="43"/>
    <s v="Male"/>
    <n v="2684994"/>
    <x v="0"/>
    <x v="0"/>
    <s v="S. Kumar"/>
  </r>
  <r>
    <s v="T100906"/>
    <x v="243"/>
    <x v="7"/>
    <x v="279"/>
    <x v="5"/>
    <s v="Karnataka"/>
    <x v="2"/>
    <s v="Loan"/>
    <n v="0"/>
    <n v="0"/>
    <n v="1953148"/>
    <n v="0"/>
    <n v="0"/>
    <x v="363"/>
    <n v="48"/>
    <s v="Female"/>
    <n v="2455892"/>
    <x v="0"/>
    <x v="1"/>
    <s v="R. Patel"/>
  </r>
  <r>
    <s v="T100907"/>
    <x v="159"/>
    <x v="5"/>
    <x v="241"/>
    <x v="1"/>
    <s v="Tamil Nadu"/>
    <x v="0"/>
    <s v="Interest"/>
    <n v="0"/>
    <n v="0"/>
    <n v="0"/>
    <n v="0"/>
    <n v="1830.95"/>
    <x v="219"/>
    <n v="39"/>
    <s v="Female"/>
    <n v="1990268"/>
    <x v="0"/>
    <x v="0"/>
    <s v="S. Kumar"/>
  </r>
  <r>
    <s v="T100908"/>
    <x v="223"/>
    <x v="1"/>
    <x v="4"/>
    <x v="4"/>
    <s v="Delhi"/>
    <x v="2"/>
    <s v="Loan"/>
    <n v="0"/>
    <n v="0"/>
    <n v="1799507"/>
    <n v="0"/>
    <n v="0"/>
    <x v="142"/>
    <n v="31"/>
    <s v="Female"/>
    <n v="1044526"/>
    <x v="0"/>
    <x v="2"/>
    <s v="R. Patel"/>
  </r>
  <r>
    <s v="T100909"/>
    <x v="109"/>
    <x v="8"/>
    <x v="170"/>
    <x v="5"/>
    <s v="Delhi"/>
    <x v="1"/>
    <s v="Deposit"/>
    <n v="17471"/>
    <n v="0"/>
    <n v="0"/>
    <n v="0"/>
    <n v="0"/>
    <x v="475"/>
    <n v="63"/>
    <s v="Female"/>
    <n v="1249462"/>
    <x v="1"/>
    <x v="0"/>
    <s v="S. Kumar"/>
  </r>
  <r>
    <s v="T100910"/>
    <x v="63"/>
    <x v="10"/>
    <x v="271"/>
    <x v="2"/>
    <s v="Maharashtra"/>
    <x v="2"/>
    <s v="EMI"/>
    <n v="0"/>
    <n v="0"/>
    <n v="0"/>
    <n v="22338"/>
    <n v="0"/>
    <x v="476"/>
    <n v="37"/>
    <s v="Male"/>
    <n v="1684553"/>
    <x v="0"/>
    <x v="4"/>
    <s v="P. Singh"/>
  </r>
  <r>
    <s v="T100911"/>
    <x v="325"/>
    <x v="7"/>
    <x v="277"/>
    <x v="3"/>
    <s v="Karnataka"/>
    <x v="0"/>
    <s v="Withdrawal"/>
    <n v="0"/>
    <n v="27328"/>
    <n v="0"/>
    <n v="0"/>
    <n v="0"/>
    <x v="387"/>
    <n v="68"/>
    <s v="Male"/>
    <n v="428058"/>
    <x v="1"/>
    <x v="0"/>
    <s v="P. Singh"/>
  </r>
  <r>
    <s v="T100912"/>
    <x v="207"/>
    <x v="9"/>
    <x v="102"/>
    <x v="1"/>
    <s v="Tamil Nadu"/>
    <x v="3"/>
    <s v="Deposit"/>
    <n v="191099"/>
    <n v="0"/>
    <n v="0"/>
    <n v="0"/>
    <n v="0"/>
    <x v="424"/>
    <n v="56"/>
    <s v="Male"/>
    <n v="1467398"/>
    <x v="0"/>
    <x v="0"/>
    <s v="P. Singh"/>
  </r>
  <r>
    <s v="T100913"/>
    <x v="282"/>
    <x v="4"/>
    <x v="66"/>
    <x v="3"/>
    <s v="Maharashtra"/>
    <x v="0"/>
    <s v="Withdrawal"/>
    <n v="0"/>
    <n v="51037"/>
    <n v="0"/>
    <n v="0"/>
    <n v="0"/>
    <x v="355"/>
    <n v="37"/>
    <s v="Male"/>
    <n v="1382437"/>
    <x v="0"/>
    <x v="0"/>
    <s v="R. Patel"/>
  </r>
  <r>
    <s v="T100914"/>
    <x v="198"/>
    <x v="8"/>
    <x v="246"/>
    <x v="2"/>
    <s v="Tamil Nadu"/>
    <x v="0"/>
    <s v="Deposit"/>
    <n v="109461"/>
    <n v="0"/>
    <n v="0"/>
    <n v="0"/>
    <n v="0"/>
    <x v="477"/>
    <n v="46"/>
    <s v="Male"/>
    <n v="2249271"/>
    <x v="1"/>
    <x v="0"/>
    <s v="R. Patel"/>
  </r>
  <r>
    <s v="T100915"/>
    <x v="69"/>
    <x v="4"/>
    <x v="39"/>
    <x v="5"/>
    <s v="Maharashtra"/>
    <x v="3"/>
    <s v="EMI"/>
    <n v="0"/>
    <n v="0"/>
    <n v="0"/>
    <n v="30589"/>
    <n v="0"/>
    <x v="478"/>
    <n v="55"/>
    <s v="Female"/>
    <n v="626543"/>
    <x v="0"/>
    <x v="1"/>
    <s v="S. Kumar"/>
  </r>
  <r>
    <s v="T100916"/>
    <x v="220"/>
    <x v="3"/>
    <x v="30"/>
    <x v="5"/>
    <s v="Delhi"/>
    <x v="2"/>
    <s v="Withdrawal"/>
    <n v="0"/>
    <n v="5204"/>
    <n v="0"/>
    <n v="0"/>
    <n v="0"/>
    <x v="227"/>
    <n v="19"/>
    <s v="Female"/>
    <n v="233907"/>
    <x v="1"/>
    <x v="0"/>
    <s v="A. Sharma"/>
  </r>
  <r>
    <s v="T100918"/>
    <x v="78"/>
    <x v="4"/>
    <x v="159"/>
    <x v="5"/>
    <s v="Maharashtra"/>
    <x v="1"/>
    <s v="EMI"/>
    <n v="0"/>
    <n v="0"/>
    <n v="0"/>
    <n v="15217"/>
    <n v="0"/>
    <x v="479"/>
    <n v="60"/>
    <s v="Female"/>
    <n v="1107230"/>
    <x v="0"/>
    <x v="4"/>
    <s v="P. Singh"/>
  </r>
  <r>
    <s v="T100919"/>
    <x v="45"/>
    <x v="0"/>
    <x v="224"/>
    <x v="2"/>
    <s v="Tamil Nadu"/>
    <x v="2"/>
    <s v="Deposit"/>
    <n v="128012"/>
    <n v="0"/>
    <n v="0"/>
    <n v="0"/>
    <n v="0"/>
    <x v="323"/>
    <n v="51"/>
    <s v="Male"/>
    <n v="2938426"/>
    <x v="0"/>
    <x v="0"/>
    <s v="N. Rao"/>
  </r>
  <r>
    <s v="T100920"/>
    <x v="98"/>
    <x v="1"/>
    <x v="167"/>
    <x v="0"/>
    <s v="Telangana"/>
    <x v="0"/>
    <s v="Withdrawal"/>
    <n v="0"/>
    <n v="72843"/>
    <n v="0"/>
    <n v="0"/>
    <n v="0"/>
    <x v="480"/>
    <n v="43"/>
    <s v="Male"/>
    <n v="410290"/>
    <x v="1"/>
    <x v="0"/>
    <s v="S. Kumar"/>
  </r>
  <r>
    <s v="T100921"/>
    <x v="227"/>
    <x v="10"/>
    <x v="33"/>
    <x v="4"/>
    <s v="Karnataka"/>
    <x v="3"/>
    <s v="EMI"/>
    <n v="0"/>
    <n v="0"/>
    <n v="0"/>
    <n v="26703"/>
    <n v="0"/>
    <x v="481"/>
    <n v="59"/>
    <s v="Female"/>
    <n v="1019738"/>
    <x v="0"/>
    <x v="3"/>
    <s v="R. Patel"/>
  </r>
  <r>
    <s v="T100922"/>
    <x v="19"/>
    <x v="0"/>
    <x v="262"/>
    <x v="0"/>
    <s v="Maharashtra"/>
    <x v="2"/>
    <s v="Loan"/>
    <n v="0"/>
    <n v="0"/>
    <n v="434188"/>
    <n v="0"/>
    <n v="0"/>
    <x v="461"/>
    <n v="54"/>
    <s v="Female"/>
    <n v="561047"/>
    <x v="0"/>
    <x v="2"/>
    <s v="P. Singh"/>
  </r>
  <r>
    <s v="T100923"/>
    <x v="195"/>
    <x v="0"/>
    <x v="72"/>
    <x v="0"/>
    <s v="Telangana"/>
    <x v="0"/>
    <s v="EMI"/>
    <n v="0"/>
    <n v="0"/>
    <n v="0"/>
    <n v="9474"/>
    <n v="0"/>
    <x v="253"/>
    <n v="56"/>
    <s v="Male"/>
    <n v="2303338"/>
    <x v="1"/>
    <x v="1"/>
    <s v="R. Patel"/>
  </r>
  <r>
    <s v="T100924"/>
    <x v="107"/>
    <x v="11"/>
    <x v="133"/>
    <x v="4"/>
    <s v="Maharashtra"/>
    <x v="3"/>
    <s v="Interest"/>
    <n v="0"/>
    <n v="0"/>
    <n v="0"/>
    <n v="0"/>
    <n v="3836.2"/>
    <x v="194"/>
    <n v="69"/>
    <s v="Female"/>
    <n v="2847282"/>
    <x v="0"/>
    <x v="0"/>
    <s v="A. Sharma"/>
  </r>
  <r>
    <s v="T100925"/>
    <x v="62"/>
    <x v="4"/>
    <x v="197"/>
    <x v="0"/>
    <s v="Tamil Nadu"/>
    <x v="2"/>
    <s v="Interest"/>
    <n v="0"/>
    <n v="0"/>
    <n v="0"/>
    <n v="0"/>
    <n v="9818.82"/>
    <x v="271"/>
    <n v="32"/>
    <s v="Male"/>
    <n v="474450"/>
    <x v="0"/>
    <x v="0"/>
    <s v="P. Singh"/>
  </r>
  <r>
    <s v="T100926"/>
    <x v="62"/>
    <x v="4"/>
    <x v="264"/>
    <x v="1"/>
    <s v="Karnataka"/>
    <x v="0"/>
    <s v="Interest"/>
    <n v="0"/>
    <n v="0"/>
    <n v="0"/>
    <n v="0"/>
    <n v="776.5"/>
    <x v="482"/>
    <n v="52"/>
    <s v="Female"/>
    <n v="682107"/>
    <x v="0"/>
    <x v="0"/>
    <s v="N. Rao"/>
  </r>
  <r>
    <s v="T100927"/>
    <x v="249"/>
    <x v="7"/>
    <x v="238"/>
    <x v="2"/>
    <s v="Telangana"/>
    <x v="1"/>
    <s v="Deposit"/>
    <n v="11034"/>
    <n v="0"/>
    <n v="0"/>
    <n v="0"/>
    <n v="0"/>
    <x v="209"/>
    <n v="24"/>
    <s v="Male"/>
    <n v="2743059"/>
    <x v="0"/>
    <x v="0"/>
    <s v="R. Patel"/>
  </r>
  <r>
    <s v="T100928"/>
    <x v="20"/>
    <x v="3"/>
    <x v="264"/>
    <x v="2"/>
    <s v="Karnataka"/>
    <x v="3"/>
    <s v="EMI"/>
    <n v="0"/>
    <n v="0"/>
    <n v="0"/>
    <n v="20875"/>
    <n v="0"/>
    <x v="483"/>
    <n v="56"/>
    <s v="Male"/>
    <n v="234798"/>
    <x v="1"/>
    <x v="4"/>
    <s v="R. Patel"/>
  </r>
  <r>
    <s v="T100929"/>
    <x v="213"/>
    <x v="3"/>
    <x v="17"/>
    <x v="3"/>
    <s v="Karnataka"/>
    <x v="1"/>
    <s v="Withdrawal"/>
    <n v="0"/>
    <n v="30110"/>
    <n v="0"/>
    <n v="0"/>
    <n v="0"/>
    <x v="461"/>
    <n v="47"/>
    <s v="Female"/>
    <n v="1715748"/>
    <x v="0"/>
    <x v="0"/>
    <s v="N. Rao"/>
  </r>
  <r>
    <s v="T100930"/>
    <x v="70"/>
    <x v="6"/>
    <x v="160"/>
    <x v="3"/>
    <s v="Maharashtra"/>
    <x v="1"/>
    <s v="Withdrawal"/>
    <n v="0"/>
    <n v="36470"/>
    <n v="0"/>
    <n v="0"/>
    <n v="0"/>
    <x v="303"/>
    <n v="30"/>
    <s v="Male"/>
    <n v="2008878"/>
    <x v="1"/>
    <x v="0"/>
    <s v="P. Singh"/>
  </r>
  <r>
    <s v="T100931"/>
    <x v="61"/>
    <x v="4"/>
    <x v="123"/>
    <x v="2"/>
    <s v="Delhi"/>
    <x v="1"/>
    <s v="Loan"/>
    <n v="0"/>
    <n v="0"/>
    <n v="1098060"/>
    <n v="0"/>
    <n v="0"/>
    <x v="484"/>
    <n v="64"/>
    <s v="Male"/>
    <n v="290604"/>
    <x v="0"/>
    <x v="2"/>
    <s v="A. Sharma"/>
  </r>
  <r>
    <s v="T100932"/>
    <x v="207"/>
    <x v="9"/>
    <x v="178"/>
    <x v="5"/>
    <s v="Tamil Nadu"/>
    <x v="2"/>
    <s v="EMI"/>
    <n v="0"/>
    <n v="0"/>
    <n v="0"/>
    <n v="37548"/>
    <n v="0"/>
    <x v="191"/>
    <n v="61"/>
    <s v="Female"/>
    <n v="2708958"/>
    <x v="0"/>
    <x v="3"/>
    <s v="P. Singh"/>
  </r>
  <r>
    <s v="T100933"/>
    <x v="336"/>
    <x v="5"/>
    <x v="35"/>
    <x v="5"/>
    <s v="Tamil Nadu"/>
    <x v="3"/>
    <s v="Withdrawal"/>
    <n v="0"/>
    <n v="20963"/>
    <n v="0"/>
    <n v="0"/>
    <n v="0"/>
    <x v="132"/>
    <n v="31"/>
    <s v="Male"/>
    <n v="204355"/>
    <x v="1"/>
    <x v="0"/>
    <s v="R. Patel"/>
  </r>
  <r>
    <s v="T100934"/>
    <x v="287"/>
    <x v="2"/>
    <x v="260"/>
    <x v="3"/>
    <s v="Karnataka"/>
    <x v="1"/>
    <s v="Loan"/>
    <n v="0"/>
    <n v="0"/>
    <n v="979293"/>
    <n v="0"/>
    <n v="0"/>
    <x v="462"/>
    <n v="69"/>
    <s v="Female"/>
    <n v="1553992"/>
    <x v="1"/>
    <x v="2"/>
    <s v="A. Sharma"/>
  </r>
  <r>
    <s v="T100935"/>
    <x v="179"/>
    <x v="5"/>
    <x v="56"/>
    <x v="2"/>
    <s v="Telangana"/>
    <x v="2"/>
    <s v="Deposit"/>
    <n v="136848"/>
    <n v="0"/>
    <n v="0"/>
    <n v="0"/>
    <n v="0"/>
    <x v="398"/>
    <n v="44"/>
    <s v="Female"/>
    <n v="1718717"/>
    <x v="1"/>
    <x v="0"/>
    <s v="A. Sharma"/>
  </r>
  <r>
    <s v="T100936"/>
    <x v="136"/>
    <x v="11"/>
    <x v="203"/>
    <x v="0"/>
    <s v="Maharashtra"/>
    <x v="2"/>
    <s v="EMI"/>
    <n v="0"/>
    <n v="0"/>
    <n v="0"/>
    <n v="49752"/>
    <n v="0"/>
    <x v="485"/>
    <n v="54"/>
    <s v="Male"/>
    <n v="1142589"/>
    <x v="0"/>
    <x v="3"/>
    <s v="N. Rao"/>
  </r>
  <r>
    <s v="T100937"/>
    <x v="99"/>
    <x v="2"/>
    <x v="121"/>
    <x v="1"/>
    <s v="Telangana"/>
    <x v="0"/>
    <s v="Deposit"/>
    <n v="177327"/>
    <n v="0"/>
    <n v="0"/>
    <n v="0"/>
    <n v="0"/>
    <x v="104"/>
    <n v="62"/>
    <s v="Male"/>
    <n v="1061305"/>
    <x v="1"/>
    <x v="0"/>
    <s v="P. Singh"/>
  </r>
  <r>
    <s v="T100938"/>
    <x v="126"/>
    <x v="10"/>
    <x v="186"/>
    <x v="5"/>
    <s v="Telangana"/>
    <x v="3"/>
    <s v="Withdrawal"/>
    <n v="0"/>
    <n v="24819"/>
    <n v="0"/>
    <n v="0"/>
    <n v="0"/>
    <x v="486"/>
    <n v="21"/>
    <s v="Female"/>
    <n v="437003"/>
    <x v="1"/>
    <x v="0"/>
    <s v="R. Patel"/>
  </r>
  <r>
    <s v="T100939"/>
    <x v="337"/>
    <x v="6"/>
    <x v="232"/>
    <x v="1"/>
    <s v="Maharashtra"/>
    <x v="3"/>
    <s v="Interest"/>
    <n v="0"/>
    <n v="0"/>
    <n v="0"/>
    <n v="0"/>
    <n v="1807.02"/>
    <x v="487"/>
    <n v="26"/>
    <s v="Female"/>
    <n v="884338"/>
    <x v="0"/>
    <x v="0"/>
    <s v="A. Sharma"/>
  </r>
  <r>
    <s v="T100940"/>
    <x v="141"/>
    <x v="0"/>
    <x v="223"/>
    <x v="5"/>
    <s v="Maharashtra"/>
    <x v="2"/>
    <s v="Deposit"/>
    <n v="83713"/>
    <n v="0"/>
    <n v="0"/>
    <n v="0"/>
    <n v="0"/>
    <x v="130"/>
    <n v="34"/>
    <s v="Male"/>
    <n v="1458197"/>
    <x v="1"/>
    <x v="0"/>
    <s v="P. Singh"/>
  </r>
  <r>
    <s v="T100941"/>
    <x v="333"/>
    <x v="4"/>
    <x v="186"/>
    <x v="5"/>
    <s v="Karnataka"/>
    <x v="3"/>
    <s v="Deposit"/>
    <n v="10535"/>
    <n v="0"/>
    <n v="0"/>
    <n v="0"/>
    <n v="0"/>
    <x v="274"/>
    <n v="21"/>
    <s v="Female"/>
    <n v="906743"/>
    <x v="1"/>
    <x v="0"/>
    <s v="P. Singh"/>
  </r>
  <r>
    <s v="T100942"/>
    <x v="338"/>
    <x v="11"/>
    <x v="115"/>
    <x v="4"/>
    <s v="Tamil Nadu"/>
    <x v="0"/>
    <s v="Interest"/>
    <n v="0"/>
    <n v="0"/>
    <n v="0"/>
    <n v="0"/>
    <n v="3668.87"/>
    <x v="452"/>
    <n v="51"/>
    <s v="Male"/>
    <n v="2336037"/>
    <x v="0"/>
    <x v="0"/>
    <s v="N. Rao"/>
  </r>
  <r>
    <s v="T100943"/>
    <x v="8"/>
    <x v="3"/>
    <x v="280"/>
    <x v="1"/>
    <s v="Tamil Nadu"/>
    <x v="0"/>
    <s v="Loan"/>
    <n v="0"/>
    <n v="0"/>
    <n v="1620860"/>
    <n v="0"/>
    <n v="0"/>
    <x v="488"/>
    <n v="52"/>
    <s v="Female"/>
    <n v="447770"/>
    <x v="0"/>
    <x v="1"/>
    <s v="P. Singh"/>
  </r>
  <r>
    <s v="T100944"/>
    <x v="277"/>
    <x v="1"/>
    <x v="40"/>
    <x v="5"/>
    <s v="Delhi"/>
    <x v="2"/>
    <s v="Withdrawal"/>
    <n v="0"/>
    <n v="76149"/>
    <n v="0"/>
    <n v="0"/>
    <n v="0"/>
    <x v="48"/>
    <n v="23"/>
    <s v="Female"/>
    <n v="1530898"/>
    <x v="0"/>
    <x v="0"/>
    <s v="A. Sharma"/>
  </r>
  <r>
    <s v="T100945"/>
    <x v="202"/>
    <x v="6"/>
    <x v="39"/>
    <x v="0"/>
    <s v="Tamil Nadu"/>
    <x v="0"/>
    <s v="Deposit"/>
    <n v="180377"/>
    <n v="0"/>
    <n v="0"/>
    <n v="0"/>
    <n v="0"/>
    <x v="390"/>
    <n v="37"/>
    <s v="Female"/>
    <n v="623482"/>
    <x v="1"/>
    <x v="0"/>
    <s v="N. Rao"/>
  </r>
  <r>
    <s v="T100946"/>
    <x v="173"/>
    <x v="10"/>
    <x v="244"/>
    <x v="2"/>
    <s v="Delhi"/>
    <x v="2"/>
    <s v="Deposit"/>
    <n v="65595"/>
    <n v="0"/>
    <n v="0"/>
    <n v="0"/>
    <n v="0"/>
    <x v="489"/>
    <n v="18"/>
    <s v="Female"/>
    <n v="857120"/>
    <x v="1"/>
    <x v="0"/>
    <s v="A. Sharma"/>
  </r>
  <r>
    <s v="T100947"/>
    <x v="103"/>
    <x v="8"/>
    <x v="38"/>
    <x v="1"/>
    <s v="Karnataka"/>
    <x v="3"/>
    <s v="Withdrawal"/>
    <n v="0"/>
    <n v="2403"/>
    <n v="0"/>
    <n v="0"/>
    <n v="0"/>
    <x v="38"/>
    <n v="27"/>
    <s v="Female"/>
    <n v="285766"/>
    <x v="0"/>
    <x v="0"/>
    <s v="N. Rao"/>
  </r>
  <r>
    <s v="T100948"/>
    <x v="21"/>
    <x v="1"/>
    <x v="281"/>
    <x v="2"/>
    <s v="Maharashtra"/>
    <x v="0"/>
    <s v="Deposit"/>
    <n v="111362"/>
    <n v="0"/>
    <n v="0"/>
    <n v="0"/>
    <n v="0"/>
    <x v="291"/>
    <n v="64"/>
    <s v="Female"/>
    <n v="1904156"/>
    <x v="0"/>
    <x v="0"/>
    <s v="A. Sharma"/>
  </r>
  <r>
    <s v="T100949"/>
    <x v="339"/>
    <x v="10"/>
    <x v="50"/>
    <x v="5"/>
    <s v="Tamil Nadu"/>
    <x v="1"/>
    <s v="Interest"/>
    <n v="0"/>
    <n v="0"/>
    <n v="0"/>
    <n v="0"/>
    <n v="1991.08"/>
    <x v="371"/>
    <n v="42"/>
    <s v="Male"/>
    <n v="1704695"/>
    <x v="0"/>
    <x v="0"/>
    <s v="A. Sharma"/>
  </r>
  <r>
    <s v="T100950"/>
    <x v="175"/>
    <x v="1"/>
    <x v="171"/>
    <x v="1"/>
    <s v="Tamil Nadu"/>
    <x v="0"/>
    <s v="Deposit"/>
    <n v="164306"/>
    <n v="0"/>
    <n v="0"/>
    <n v="0"/>
    <n v="0"/>
    <x v="56"/>
    <n v="64"/>
    <s v="Female"/>
    <n v="1620555"/>
    <x v="0"/>
    <x v="0"/>
    <s v="A. Sharma"/>
  </r>
  <r>
    <s v="T100951"/>
    <x v="190"/>
    <x v="3"/>
    <x v="282"/>
    <x v="1"/>
    <s v="Karnataka"/>
    <x v="0"/>
    <s v="Deposit"/>
    <n v="51521"/>
    <n v="0"/>
    <n v="0"/>
    <n v="0"/>
    <n v="0"/>
    <x v="421"/>
    <n v="33"/>
    <s v="Male"/>
    <n v="1876667"/>
    <x v="0"/>
    <x v="0"/>
    <s v="A. Sharma"/>
  </r>
  <r>
    <s v="T100952"/>
    <x v="100"/>
    <x v="8"/>
    <x v="245"/>
    <x v="5"/>
    <s v="Telangana"/>
    <x v="1"/>
    <s v="Deposit"/>
    <n v="167804"/>
    <n v="0"/>
    <n v="0"/>
    <n v="0"/>
    <n v="0"/>
    <x v="274"/>
    <n v="55"/>
    <s v="Female"/>
    <n v="280270"/>
    <x v="1"/>
    <x v="0"/>
    <s v="A. Sharma"/>
  </r>
  <r>
    <s v="T100953"/>
    <x v="340"/>
    <x v="11"/>
    <x v="162"/>
    <x v="3"/>
    <s v="Delhi"/>
    <x v="1"/>
    <s v="Deposit"/>
    <n v="84346"/>
    <n v="0"/>
    <n v="0"/>
    <n v="0"/>
    <n v="0"/>
    <x v="166"/>
    <n v="49"/>
    <s v="Male"/>
    <n v="609250"/>
    <x v="0"/>
    <x v="0"/>
    <s v="R. Patel"/>
  </r>
  <r>
    <s v="T100954"/>
    <x v="284"/>
    <x v="2"/>
    <x v="64"/>
    <x v="2"/>
    <s v="Telangana"/>
    <x v="2"/>
    <s v="Withdrawal"/>
    <n v="0"/>
    <n v="76507"/>
    <n v="0"/>
    <n v="0"/>
    <n v="0"/>
    <x v="408"/>
    <n v="44"/>
    <s v="Female"/>
    <n v="2511941"/>
    <x v="0"/>
    <x v="0"/>
    <s v="P. Singh"/>
  </r>
  <r>
    <s v="T100955"/>
    <x v="212"/>
    <x v="0"/>
    <x v="170"/>
    <x v="2"/>
    <s v="Maharashtra"/>
    <x v="2"/>
    <s v="Loan"/>
    <n v="0"/>
    <n v="0"/>
    <n v="280494"/>
    <n v="0"/>
    <n v="0"/>
    <x v="435"/>
    <n v="37"/>
    <s v="Male"/>
    <n v="842037"/>
    <x v="0"/>
    <x v="2"/>
    <s v="P. Singh"/>
  </r>
  <r>
    <s v="T100956"/>
    <x v="249"/>
    <x v="7"/>
    <x v="88"/>
    <x v="2"/>
    <s v="Maharashtra"/>
    <x v="1"/>
    <s v="Interest"/>
    <n v="0"/>
    <n v="0"/>
    <n v="0"/>
    <n v="0"/>
    <n v="7467.67"/>
    <x v="248"/>
    <n v="19"/>
    <s v="Male"/>
    <n v="2431820"/>
    <x v="0"/>
    <x v="0"/>
    <s v="N. Rao"/>
  </r>
  <r>
    <s v="T100957"/>
    <x v="2"/>
    <x v="2"/>
    <x v="170"/>
    <x v="2"/>
    <s v="Delhi"/>
    <x v="0"/>
    <s v="Withdrawal"/>
    <n v="0"/>
    <n v="3633"/>
    <n v="0"/>
    <n v="0"/>
    <n v="0"/>
    <x v="126"/>
    <n v="55"/>
    <s v="Male"/>
    <n v="2050249"/>
    <x v="1"/>
    <x v="0"/>
    <s v="S. Kumar"/>
  </r>
  <r>
    <s v="T100958"/>
    <x v="209"/>
    <x v="1"/>
    <x v="0"/>
    <x v="3"/>
    <s v="Maharashtra"/>
    <x v="1"/>
    <s v="Loan"/>
    <n v="0"/>
    <n v="0"/>
    <n v="1107158"/>
    <n v="0"/>
    <n v="0"/>
    <x v="6"/>
    <n v="64"/>
    <s v="Female"/>
    <n v="1401512"/>
    <x v="1"/>
    <x v="2"/>
    <s v="N. Rao"/>
  </r>
  <r>
    <s v="T100959"/>
    <x v="324"/>
    <x v="1"/>
    <x v="181"/>
    <x v="5"/>
    <s v="Karnataka"/>
    <x v="2"/>
    <s v="Deposit"/>
    <n v="91214"/>
    <n v="0"/>
    <n v="0"/>
    <n v="0"/>
    <n v="0"/>
    <x v="23"/>
    <n v="53"/>
    <s v="Female"/>
    <n v="1952204"/>
    <x v="0"/>
    <x v="0"/>
    <s v="P. Singh"/>
  </r>
  <r>
    <s v="T100960"/>
    <x v="301"/>
    <x v="5"/>
    <x v="186"/>
    <x v="4"/>
    <s v="Karnataka"/>
    <x v="0"/>
    <s v="EMI"/>
    <n v="0"/>
    <n v="0"/>
    <n v="0"/>
    <n v="17623"/>
    <n v="0"/>
    <x v="95"/>
    <n v="59"/>
    <s v="Male"/>
    <n v="1292933"/>
    <x v="0"/>
    <x v="1"/>
    <s v="N. Rao"/>
  </r>
  <r>
    <s v="T100961"/>
    <x v="17"/>
    <x v="4"/>
    <x v="256"/>
    <x v="3"/>
    <s v="Delhi"/>
    <x v="2"/>
    <s v="EMI"/>
    <n v="0"/>
    <n v="0"/>
    <n v="0"/>
    <n v="16211"/>
    <n v="0"/>
    <x v="408"/>
    <n v="59"/>
    <s v="Female"/>
    <n v="1701342"/>
    <x v="0"/>
    <x v="3"/>
    <s v="R. Patel"/>
  </r>
  <r>
    <s v="T100962"/>
    <x v="75"/>
    <x v="8"/>
    <x v="283"/>
    <x v="2"/>
    <s v="Karnataka"/>
    <x v="2"/>
    <s v="Interest"/>
    <n v="0"/>
    <n v="0"/>
    <n v="0"/>
    <n v="0"/>
    <n v="3934.18"/>
    <x v="205"/>
    <n v="60"/>
    <s v="Female"/>
    <n v="333383"/>
    <x v="1"/>
    <x v="0"/>
    <s v="N. Rao"/>
  </r>
  <r>
    <s v="T100963"/>
    <x v="159"/>
    <x v="5"/>
    <x v="284"/>
    <x v="5"/>
    <s v="Delhi"/>
    <x v="1"/>
    <s v="Deposit"/>
    <n v="4496"/>
    <n v="0"/>
    <n v="0"/>
    <n v="0"/>
    <n v="0"/>
    <x v="475"/>
    <n v="31"/>
    <s v="Female"/>
    <n v="2025622"/>
    <x v="1"/>
    <x v="0"/>
    <s v="A. Sharma"/>
  </r>
  <r>
    <s v="T100964"/>
    <x v="200"/>
    <x v="5"/>
    <x v="161"/>
    <x v="0"/>
    <s v="Delhi"/>
    <x v="1"/>
    <s v="Withdrawal"/>
    <n v="0"/>
    <n v="74556"/>
    <n v="0"/>
    <n v="0"/>
    <n v="0"/>
    <x v="334"/>
    <n v="62"/>
    <s v="Female"/>
    <n v="1925716"/>
    <x v="0"/>
    <x v="0"/>
    <s v="S. Kumar"/>
  </r>
  <r>
    <s v="T100965"/>
    <x v="286"/>
    <x v="0"/>
    <x v="262"/>
    <x v="3"/>
    <s v="Delhi"/>
    <x v="1"/>
    <s v="Deposit"/>
    <n v="20316"/>
    <n v="0"/>
    <n v="0"/>
    <n v="0"/>
    <n v="0"/>
    <x v="385"/>
    <n v="36"/>
    <s v="Female"/>
    <n v="898263"/>
    <x v="1"/>
    <x v="0"/>
    <s v="R. Patel"/>
  </r>
  <r>
    <s v="T100966"/>
    <x v="52"/>
    <x v="11"/>
    <x v="178"/>
    <x v="5"/>
    <s v="Karnataka"/>
    <x v="3"/>
    <s v="EMI"/>
    <n v="0"/>
    <n v="0"/>
    <n v="0"/>
    <n v="26195"/>
    <n v="0"/>
    <x v="338"/>
    <n v="31"/>
    <s v="Male"/>
    <n v="2549214"/>
    <x v="1"/>
    <x v="3"/>
    <s v="S. Kumar"/>
  </r>
  <r>
    <s v="T100967"/>
    <x v="304"/>
    <x v="11"/>
    <x v="210"/>
    <x v="5"/>
    <s v="Karnataka"/>
    <x v="0"/>
    <s v="Loan"/>
    <n v="0"/>
    <n v="0"/>
    <n v="62157"/>
    <n v="0"/>
    <n v="0"/>
    <x v="490"/>
    <n v="33"/>
    <s v="Female"/>
    <n v="1179618"/>
    <x v="0"/>
    <x v="1"/>
    <s v="R. Patel"/>
  </r>
  <r>
    <s v="T100968"/>
    <x v="161"/>
    <x v="9"/>
    <x v="51"/>
    <x v="2"/>
    <s v="Tamil Nadu"/>
    <x v="3"/>
    <s v="Deposit"/>
    <n v="100118"/>
    <n v="0"/>
    <n v="0"/>
    <n v="0"/>
    <n v="0"/>
    <x v="2"/>
    <n v="38"/>
    <s v="Male"/>
    <n v="480444"/>
    <x v="0"/>
    <x v="0"/>
    <s v="R. Patel"/>
  </r>
  <r>
    <s v="T100969"/>
    <x v="254"/>
    <x v="9"/>
    <x v="94"/>
    <x v="1"/>
    <s v="Karnataka"/>
    <x v="0"/>
    <s v="Loan"/>
    <n v="0"/>
    <n v="0"/>
    <n v="804333"/>
    <n v="0"/>
    <n v="0"/>
    <x v="491"/>
    <n v="53"/>
    <s v="Female"/>
    <n v="2568881"/>
    <x v="0"/>
    <x v="1"/>
    <s v="S. Kumar"/>
  </r>
  <r>
    <s v="T100970"/>
    <x v="104"/>
    <x v="10"/>
    <x v="152"/>
    <x v="4"/>
    <s v="Karnataka"/>
    <x v="0"/>
    <s v="Deposit"/>
    <n v="2369"/>
    <n v="0"/>
    <n v="0"/>
    <n v="0"/>
    <n v="0"/>
    <x v="492"/>
    <n v="18"/>
    <s v="Male"/>
    <n v="2606960"/>
    <x v="0"/>
    <x v="0"/>
    <s v="R. Patel"/>
  </r>
  <r>
    <s v="T100971"/>
    <x v="292"/>
    <x v="11"/>
    <x v="215"/>
    <x v="1"/>
    <s v="Tamil Nadu"/>
    <x v="0"/>
    <s v="Interest"/>
    <n v="0"/>
    <n v="0"/>
    <n v="0"/>
    <n v="0"/>
    <n v="1279.48"/>
    <x v="306"/>
    <n v="60"/>
    <s v="Female"/>
    <n v="417926"/>
    <x v="0"/>
    <x v="0"/>
    <s v="S. Kumar"/>
  </r>
  <r>
    <s v="T100972"/>
    <x v="95"/>
    <x v="4"/>
    <x v="285"/>
    <x v="3"/>
    <s v="Telangana"/>
    <x v="1"/>
    <s v="Interest"/>
    <n v="0"/>
    <n v="0"/>
    <n v="0"/>
    <n v="0"/>
    <n v="4932.47"/>
    <x v="416"/>
    <n v="36"/>
    <s v="Male"/>
    <n v="1882093"/>
    <x v="1"/>
    <x v="0"/>
    <s v="A. Sharma"/>
  </r>
  <r>
    <s v="T100973"/>
    <x v="279"/>
    <x v="11"/>
    <x v="222"/>
    <x v="4"/>
    <s v="Delhi"/>
    <x v="0"/>
    <s v="Loan"/>
    <n v="0"/>
    <n v="0"/>
    <n v="1469774"/>
    <n v="0"/>
    <n v="0"/>
    <x v="172"/>
    <n v="46"/>
    <s v="Female"/>
    <n v="2551137"/>
    <x v="1"/>
    <x v="2"/>
    <s v="N. Rao"/>
  </r>
  <r>
    <s v="T100974"/>
    <x v="341"/>
    <x v="1"/>
    <x v="10"/>
    <x v="4"/>
    <s v="Delhi"/>
    <x v="1"/>
    <s v="Withdrawal"/>
    <n v="0"/>
    <n v="11240"/>
    <n v="0"/>
    <n v="0"/>
    <n v="0"/>
    <x v="203"/>
    <n v="44"/>
    <s v="Female"/>
    <n v="1625144"/>
    <x v="1"/>
    <x v="0"/>
    <s v="S. Kumar"/>
  </r>
  <r>
    <s v="T100975"/>
    <x v="82"/>
    <x v="3"/>
    <x v="246"/>
    <x v="5"/>
    <s v="Maharashtra"/>
    <x v="3"/>
    <s v="Withdrawal"/>
    <n v="0"/>
    <n v="63887"/>
    <n v="0"/>
    <n v="0"/>
    <n v="0"/>
    <x v="54"/>
    <n v="45"/>
    <s v="Female"/>
    <n v="2567232"/>
    <x v="1"/>
    <x v="0"/>
    <s v="N. Rao"/>
  </r>
  <r>
    <s v="T100976"/>
    <x v="180"/>
    <x v="7"/>
    <x v="176"/>
    <x v="4"/>
    <s v="Delhi"/>
    <x v="0"/>
    <s v="EMI"/>
    <n v="0"/>
    <n v="0"/>
    <n v="0"/>
    <n v="9970"/>
    <n v="0"/>
    <x v="256"/>
    <n v="68"/>
    <s v="Male"/>
    <n v="1886751"/>
    <x v="1"/>
    <x v="1"/>
    <s v="A. Sharma"/>
  </r>
  <r>
    <s v="T100977"/>
    <x v="53"/>
    <x v="4"/>
    <x v="47"/>
    <x v="3"/>
    <s v="Tamil Nadu"/>
    <x v="1"/>
    <s v="Deposit"/>
    <n v="97320"/>
    <n v="0"/>
    <n v="0"/>
    <n v="0"/>
    <n v="0"/>
    <x v="133"/>
    <n v="27"/>
    <s v="Female"/>
    <n v="866300"/>
    <x v="1"/>
    <x v="0"/>
    <s v="R. Patel"/>
  </r>
  <r>
    <s v="T100978"/>
    <x v="86"/>
    <x v="0"/>
    <x v="40"/>
    <x v="0"/>
    <s v="Telangana"/>
    <x v="2"/>
    <s v="Interest"/>
    <n v="0"/>
    <n v="0"/>
    <n v="0"/>
    <n v="0"/>
    <n v="0"/>
    <x v="160"/>
    <n v="68"/>
    <s v="Male"/>
    <n v="2643965"/>
    <x v="0"/>
    <x v="0"/>
    <s v="A. Sharma"/>
  </r>
  <r>
    <s v="T100979"/>
    <x v="270"/>
    <x v="6"/>
    <x v="264"/>
    <x v="0"/>
    <s v="Delhi"/>
    <x v="0"/>
    <s v="Interest"/>
    <n v="0"/>
    <n v="0"/>
    <n v="0"/>
    <n v="0"/>
    <n v="3870.19"/>
    <x v="131"/>
    <n v="31"/>
    <s v="Male"/>
    <n v="2334809"/>
    <x v="0"/>
    <x v="0"/>
    <s v="P. Singh"/>
  </r>
  <r>
    <s v="T100980"/>
    <x v="223"/>
    <x v="1"/>
    <x v="252"/>
    <x v="3"/>
    <s v="Tamil Nadu"/>
    <x v="2"/>
    <s v="EMI"/>
    <n v="0"/>
    <n v="0"/>
    <n v="0"/>
    <n v="5184"/>
    <n v="0"/>
    <x v="82"/>
    <n v="29"/>
    <s v="Female"/>
    <n v="943986"/>
    <x v="1"/>
    <x v="0"/>
    <s v="A. Sharma"/>
  </r>
  <r>
    <s v="T100981"/>
    <x v="299"/>
    <x v="7"/>
    <x v="31"/>
    <x v="4"/>
    <s v="Maharashtra"/>
    <x v="3"/>
    <s v="Withdrawal"/>
    <n v="0"/>
    <n v="55110"/>
    <n v="0"/>
    <n v="0"/>
    <n v="0"/>
    <x v="239"/>
    <n v="68"/>
    <s v="Male"/>
    <n v="2595718"/>
    <x v="1"/>
    <x v="0"/>
    <s v="P. Singh"/>
  </r>
  <r>
    <s v="T100982"/>
    <x v="7"/>
    <x v="6"/>
    <x v="286"/>
    <x v="0"/>
    <s v="Telangana"/>
    <x v="0"/>
    <s v="EMI"/>
    <n v="0"/>
    <n v="0"/>
    <n v="0"/>
    <n v="30919"/>
    <n v="0"/>
    <x v="493"/>
    <n v="21"/>
    <s v="Female"/>
    <n v="222644"/>
    <x v="1"/>
    <x v="3"/>
    <s v="A. Sharma"/>
  </r>
  <r>
    <s v="T100983"/>
    <x v="105"/>
    <x v="2"/>
    <x v="147"/>
    <x v="5"/>
    <s v="Telangana"/>
    <x v="1"/>
    <s v="Withdrawal"/>
    <n v="0"/>
    <n v="77064"/>
    <n v="0"/>
    <n v="0"/>
    <n v="0"/>
    <x v="15"/>
    <n v="66"/>
    <s v="Male"/>
    <n v="732670"/>
    <x v="0"/>
    <x v="0"/>
    <s v="A. Sharma"/>
  </r>
  <r>
    <s v="T100984"/>
    <x v="145"/>
    <x v="2"/>
    <x v="261"/>
    <x v="3"/>
    <s v="Delhi"/>
    <x v="3"/>
    <s v="Deposit"/>
    <n v="178959"/>
    <n v="0"/>
    <n v="0"/>
    <n v="0"/>
    <n v="0"/>
    <x v="315"/>
    <n v="40"/>
    <s v="Female"/>
    <n v="866543"/>
    <x v="1"/>
    <x v="0"/>
    <s v="R. Patel"/>
  </r>
  <r>
    <s v="T100985"/>
    <x v="86"/>
    <x v="0"/>
    <x v="287"/>
    <x v="5"/>
    <s v="Delhi"/>
    <x v="1"/>
    <s v="Interest"/>
    <n v="0"/>
    <n v="0"/>
    <n v="0"/>
    <n v="0"/>
    <n v="5311.69"/>
    <x v="423"/>
    <n v="49"/>
    <s v="Female"/>
    <n v="996752"/>
    <x v="0"/>
    <x v="0"/>
    <s v="R. Patel"/>
  </r>
  <r>
    <s v="T100986"/>
    <x v="55"/>
    <x v="5"/>
    <x v="19"/>
    <x v="5"/>
    <s v="Maharashtra"/>
    <x v="1"/>
    <s v="Withdrawal"/>
    <n v="0"/>
    <n v="32638"/>
    <n v="0"/>
    <n v="0"/>
    <n v="0"/>
    <x v="294"/>
    <n v="29"/>
    <s v="Female"/>
    <n v="1100458"/>
    <x v="0"/>
    <x v="0"/>
    <s v="N. Rao"/>
  </r>
  <r>
    <s v="T100987"/>
    <x v="40"/>
    <x v="10"/>
    <x v="249"/>
    <x v="3"/>
    <s v="Maharashtra"/>
    <x v="1"/>
    <s v="EMI"/>
    <n v="0"/>
    <n v="0"/>
    <n v="0"/>
    <n v="4519"/>
    <n v="0"/>
    <x v="52"/>
    <n v="65"/>
    <s v="Female"/>
    <n v="734181"/>
    <x v="1"/>
    <x v="4"/>
    <s v="P. Singh"/>
  </r>
  <r>
    <s v="T100988"/>
    <x v="245"/>
    <x v="0"/>
    <x v="233"/>
    <x v="5"/>
    <s v="Karnataka"/>
    <x v="1"/>
    <s v="Loan"/>
    <n v="0"/>
    <n v="0"/>
    <n v="996854"/>
    <n v="0"/>
    <n v="0"/>
    <x v="45"/>
    <n v="52"/>
    <s v="Male"/>
    <n v="2534945"/>
    <x v="1"/>
    <x v="1"/>
    <s v="A. Sharma"/>
  </r>
  <r>
    <s v="T100989"/>
    <x v="17"/>
    <x v="4"/>
    <x v="170"/>
    <x v="3"/>
    <s v="Telangana"/>
    <x v="1"/>
    <s v="EMI"/>
    <n v="0"/>
    <n v="0"/>
    <n v="0"/>
    <n v="21168"/>
    <n v="0"/>
    <x v="293"/>
    <n v="22"/>
    <s v="Male"/>
    <n v="752739"/>
    <x v="0"/>
    <x v="3"/>
    <s v="R. Patel"/>
  </r>
  <r>
    <s v="T100990"/>
    <x v="232"/>
    <x v="6"/>
    <x v="17"/>
    <x v="5"/>
    <s v="Tamil Nadu"/>
    <x v="3"/>
    <s v="Interest"/>
    <n v="0"/>
    <n v="0"/>
    <n v="0"/>
    <n v="0"/>
    <n v="1368.39"/>
    <x v="482"/>
    <n v="47"/>
    <s v="Female"/>
    <n v="230842"/>
    <x v="0"/>
    <x v="0"/>
    <s v="R. Patel"/>
  </r>
  <r>
    <s v="T100991"/>
    <x v="164"/>
    <x v="11"/>
    <x v="200"/>
    <x v="4"/>
    <s v="Maharashtra"/>
    <x v="2"/>
    <s v="EMI"/>
    <n v="0"/>
    <n v="0"/>
    <n v="0"/>
    <n v="39697"/>
    <n v="0"/>
    <x v="5"/>
    <n v="39"/>
    <s v="Female"/>
    <n v="1919445"/>
    <x v="1"/>
    <x v="4"/>
    <s v="R. Patel"/>
  </r>
  <r>
    <s v="T100992"/>
    <x v="275"/>
    <x v="4"/>
    <x v="43"/>
    <x v="4"/>
    <s v="Maharashtra"/>
    <x v="2"/>
    <s v="Loan"/>
    <n v="0"/>
    <n v="0"/>
    <n v="739722"/>
    <n v="0"/>
    <n v="0"/>
    <x v="433"/>
    <n v="69"/>
    <s v="Male"/>
    <n v="925868"/>
    <x v="0"/>
    <x v="1"/>
    <s v="P. Singh"/>
  </r>
  <r>
    <s v="T100993"/>
    <x v="306"/>
    <x v="6"/>
    <x v="272"/>
    <x v="3"/>
    <s v="Tamil Nadu"/>
    <x v="0"/>
    <s v="EMI"/>
    <n v="0"/>
    <n v="0"/>
    <n v="0"/>
    <n v="25360"/>
    <n v="0"/>
    <x v="57"/>
    <n v="26"/>
    <s v="Female"/>
    <n v="290596"/>
    <x v="1"/>
    <x v="1"/>
    <s v="R. Patel"/>
  </r>
  <r>
    <s v="T100994"/>
    <x v="326"/>
    <x v="9"/>
    <x v="17"/>
    <x v="5"/>
    <s v="Telangana"/>
    <x v="0"/>
    <s v="Loan"/>
    <n v="0"/>
    <n v="0"/>
    <n v="1633793"/>
    <n v="0"/>
    <n v="0"/>
    <x v="147"/>
    <n v="49"/>
    <s v="Male"/>
    <n v="1471885"/>
    <x v="0"/>
    <x v="2"/>
    <s v="R. Patel"/>
  </r>
  <r>
    <s v="T100995"/>
    <x v="134"/>
    <x v="4"/>
    <x v="165"/>
    <x v="3"/>
    <s v="Tamil Nadu"/>
    <x v="2"/>
    <s v="EMI"/>
    <n v="0"/>
    <n v="0"/>
    <n v="0"/>
    <n v="26335"/>
    <n v="0"/>
    <x v="262"/>
    <n v="30"/>
    <s v="Male"/>
    <n v="1600600"/>
    <x v="1"/>
    <x v="4"/>
    <s v="R. Patel"/>
  </r>
  <r>
    <s v="T100996"/>
    <x v="13"/>
    <x v="7"/>
    <x v="4"/>
    <x v="2"/>
    <s v="Tamil Nadu"/>
    <x v="3"/>
    <s v="Loan"/>
    <n v="0"/>
    <n v="0"/>
    <n v="1975782"/>
    <n v="0"/>
    <n v="0"/>
    <x v="356"/>
    <n v="23"/>
    <s v="Female"/>
    <n v="2738984"/>
    <x v="0"/>
    <x v="1"/>
    <s v="S. Kumar"/>
  </r>
  <r>
    <s v="T100997"/>
    <x v="276"/>
    <x v="11"/>
    <x v="252"/>
    <x v="1"/>
    <s v="Maharashtra"/>
    <x v="2"/>
    <s v="Loan"/>
    <n v="0"/>
    <n v="0"/>
    <n v="1871491"/>
    <n v="0"/>
    <n v="0"/>
    <x v="290"/>
    <n v="49"/>
    <s v="Male"/>
    <n v="2736988"/>
    <x v="0"/>
    <x v="2"/>
    <s v="P. Singh"/>
  </r>
  <r>
    <s v="T100998"/>
    <x v="108"/>
    <x v="2"/>
    <x v="192"/>
    <x v="2"/>
    <s v="Maharashtra"/>
    <x v="0"/>
    <s v="Deposit"/>
    <n v="137085"/>
    <n v="0"/>
    <n v="0"/>
    <n v="0"/>
    <n v="0"/>
    <x v="405"/>
    <n v="41"/>
    <s v="Female"/>
    <n v="1811955"/>
    <x v="1"/>
    <x v="0"/>
    <s v="S. Kumar"/>
  </r>
  <r>
    <s v="T100999"/>
    <x v="324"/>
    <x v="1"/>
    <x v="42"/>
    <x v="5"/>
    <s v="Telangana"/>
    <x v="0"/>
    <s v="Deposit"/>
    <n v="172940"/>
    <n v="0"/>
    <n v="0"/>
    <n v="0"/>
    <n v="0"/>
    <x v="467"/>
    <n v="55"/>
    <s v="Female"/>
    <n v="1111988"/>
    <x v="0"/>
    <x v="0"/>
    <s v="R. Pate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4EE7BA-C36E-430A-8D96-69426CB2127F}"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3:C4" firstHeaderRow="0" firstDataRow="1" firstDataCol="1"/>
  <pivotFields count="22">
    <pivotField showAll="0"/>
    <pivotField numFmtId="14" showAll="0">
      <items count="343">
        <item x="278"/>
        <item x="33"/>
        <item x="285"/>
        <item x="45"/>
        <item x="0"/>
        <item x="178"/>
        <item x="19"/>
        <item x="79"/>
        <item x="135"/>
        <item x="90"/>
        <item x="155"/>
        <item x="141"/>
        <item x="308"/>
        <item x="281"/>
        <item x="86"/>
        <item x="217"/>
        <item x="36"/>
        <item x="212"/>
        <item x="144"/>
        <item x="286"/>
        <item x="283"/>
        <item x="195"/>
        <item x="80"/>
        <item x="244"/>
        <item x="245"/>
        <item x="111"/>
        <item x="14"/>
        <item x="49"/>
        <item x="30"/>
        <item x="237"/>
        <item x="152"/>
        <item x="154"/>
        <item x="3"/>
        <item x="224"/>
        <item x="20"/>
        <item x="203"/>
        <item x="297"/>
        <item x="163"/>
        <item x="307"/>
        <item x="293"/>
        <item x="139"/>
        <item x="220"/>
        <item x="193"/>
        <item x="317"/>
        <item x="37"/>
        <item x="265"/>
        <item x="64"/>
        <item x="205"/>
        <item x="300"/>
        <item x="87"/>
        <item x="8"/>
        <item x="190"/>
        <item x="48"/>
        <item x="213"/>
        <item x="82"/>
        <item x="233"/>
        <item x="251"/>
        <item x="171"/>
        <item x="216"/>
        <item x="71"/>
        <item x="50"/>
        <item x="67"/>
        <item x="84"/>
        <item x="127"/>
        <item x="242"/>
        <item x="191"/>
        <item x="194"/>
        <item x="222"/>
        <item x="257"/>
        <item x="254"/>
        <item x="16"/>
        <item x="117"/>
        <item x="161"/>
        <item x="44"/>
        <item x="128"/>
        <item x="207"/>
        <item x="18"/>
        <item x="142"/>
        <item x="124"/>
        <item x="267"/>
        <item x="326"/>
        <item x="316"/>
        <item x="170"/>
        <item x="330"/>
        <item x="327"/>
        <item x="329"/>
        <item x="68"/>
        <item x="145"/>
        <item x="167"/>
        <item x="284"/>
        <item x="99"/>
        <item x="91"/>
        <item x="234"/>
        <item x="57"/>
        <item x="65"/>
        <item x="313"/>
        <item x="160"/>
        <item x="56"/>
        <item x="105"/>
        <item x="186"/>
        <item x="165"/>
        <item x="315"/>
        <item x="2"/>
        <item x="150"/>
        <item x="228"/>
        <item x="211"/>
        <item x="258"/>
        <item x="162"/>
        <item x="287"/>
        <item x="169"/>
        <item x="241"/>
        <item x="158"/>
        <item x="208"/>
        <item x="108"/>
        <item x="236"/>
        <item x="24"/>
        <item x="43"/>
        <item x="226"/>
        <item x="131"/>
        <item x="199"/>
        <item x="10"/>
        <item x="100"/>
        <item x="206"/>
        <item x="109"/>
        <item x="253"/>
        <item x="263"/>
        <item x="198"/>
        <item x="46"/>
        <item x="334"/>
        <item x="230"/>
        <item x="204"/>
        <item x="47"/>
        <item x="305"/>
        <item x="118"/>
        <item x="133"/>
        <item x="189"/>
        <item x="11"/>
        <item x="103"/>
        <item x="184"/>
        <item x="75"/>
        <item x="74"/>
        <item x="26"/>
        <item x="248"/>
        <item x="119"/>
        <item x="98"/>
        <item x="140"/>
        <item x="12"/>
        <item x="259"/>
        <item x="147"/>
        <item x="324"/>
        <item x="4"/>
        <item x="175"/>
        <item x="209"/>
        <item x="277"/>
        <item x="21"/>
        <item x="110"/>
        <item x="229"/>
        <item x="341"/>
        <item x="41"/>
        <item x="177"/>
        <item x="288"/>
        <item x="138"/>
        <item x="1"/>
        <item x="321"/>
        <item x="113"/>
        <item x="116"/>
        <item x="114"/>
        <item x="221"/>
        <item x="223"/>
        <item x="260"/>
        <item x="77"/>
        <item x="323"/>
        <item x="232"/>
        <item x="231"/>
        <item x="102"/>
        <item x="306"/>
        <item x="168"/>
        <item x="32"/>
        <item x="270"/>
        <item x="106"/>
        <item x="266"/>
        <item x="73"/>
        <item x="7"/>
        <item x="202"/>
        <item x="264"/>
        <item x="172"/>
        <item x="93"/>
        <item x="60"/>
        <item x="156"/>
        <item x="29"/>
        <item x="35"/>
        <item x="72"/>
        <item x="240"/>
        <item x="256"/>
        <item x="337"/>
        <item x="70"/>
        <item x="129"/>
        <item x="322"/>
        <item x="120"/>
        <item x="38"/>
        <item x="247"/>
        <item x="78"/>
        <item x="115"/>
        <item x="290"/>
        <item x="328"/>
        <item x="123"/>
        <item x="318"/>
        <item x="61"/>
        <item x="66"/>
        <item x="134"/>
        <item x="333"/>
        <item x="31"/>
        <item x="17"/>
        <item x="149"/>
        <item x="62"/>
        <item x="81"/>
        <item x="275"/>
        <item x="282"/>
        <item x="69"/>
        <item x="53"/>
        <item x="183"/>
        <item x="5"/>
        <item x="215"/>
        <item x="95"/>
        <item x="25"/>
        <item x="192"/>
        <item x="85"/>
        <item x="63"/>
        <item x="126"/>
        <item x="96"/>
        <item x="112"/>
        <item x="122"/>
        <item x="201"/>
        <item x="311"/>
        <item x="196"/>
        <item x="23"/>
        <item x="294"/>
        <item x="274"/>
        <item x="173"/>
        <item x="121"/>
        <item x="246"/>
        <item x="89"/>
        <item x="261"/>
        <item x="339"/>
        <item x="166"/>
        <item x="187"/>
        <item x="40"/>
        <item x="227"/>
        <item x="298"/>
        <item x="310"/>
        <item x="302"/>
        <item x="104"/>
        <item x="59"/>
        <item x="22"/>
        <item x="182"/>
        <item x="185"/>
        <item x="58"/>
        <item x="296"/>
        <item x="239"/>
        <item x="164"/>
        <item x="272"/>
        <item x="42"/>
        <item x="235"/>
        <item x="292"/>
        <item x="218"/>
        <item x="27"/>
        <item x="52"/>
        <item x="136"/>
        <item x="279"/>
        <item x="312"/>
        <item x="83"/>
        <item x="214"/>
        <item x="320"/>
        <item x="51"/>
        <item x="262"/>
        <item x="276"/>
        <item x="340"/>
        <item x="304"/>
        <item x="335"/>
        <item x="39"/>
        <item x="107"/>
        <item x="225"/>
        <item x="338"/>
        <item x="97"/>
        <item x="137"/>
        <item x="238"/>
        <item x="34"/>
        <item x="174"/>
        <item x="125"/>
        <item x="303"/>
        <item x="314"/>
        <item x="92"/>
        <item x="159"/>
        <item x="200"/>
        <item x="6"/>
        <item x="319"/>
        <item x="336"/>
        <item x="188"/>
        <item x="151"/>
        <item x="301"/>
        <item x="252"/>
        <item x="101"/>
        <item x="280"/>
        <item x="176"/>
        <item x="15"/>
        <item x="269"/>
        <item x="291"/>
        <item x="55"/>
        <item x="179"/>
        <item x="295"/>
        <item x="143"/>
        <item x="153"/>
        <item x="132"/>
        <item x="130"/>
        <item x="157"/>
        <item x="271"/>
        <item x="219"/>
        <item x="273"/>
        <item x="88"/>
        <item x="249"/>
        <item x="28"/>
        <item x="197"/>
        <item x="76"/>
        <item x="325"/>
        <item x="9"/>
        <item x="243"/>
        <item x="94"/>
        <item x="13"/>
        <item x="255"/>
        <item x="309"/>
        <item x="180"/>
        <item x="289"/>
        <item x="146"/>
        <item x="181"/>
        <item x="148"/>
        <item x="250"/>
        <item x="331"/>
        <item x="268"/>
        <item x="210"/>
        <item x="332"/>
        <item x="299"/>
        <item x="54"/>
        <item t="default"/>
      </items>
    </pivotField>
    <pivotField axis="axisRow" showAll="0">
      <items count="13">
        <item sd="0" x="0"/>
        <item h="1" sd="0" x="3"/>
        <item h="1" sd="0" x="9"/>
        <item h="1" sd="0" x="2"/>
        <item h="1" sd="0" x="8"/>
        <item h="1" sd="0" x="1"/>
        <item h="1" sd="0" x="6"/>
        <item h="1" sd="0" x="4"/>
        <item h="1" sd="0" x="10"/>
        <item h="1" sd="0" x="11"/>
        <item h="1" sd="0" x="5"/>
        <item h="1" sd="0" x="7"/>
        <item t="default" sd="0"/>
      </items>
    </pivotField>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2"/>
  </rowFields>
  <rowItems count="1">
    <i>
      <x/>
    </i>
  </rowItems>
  <colFields count="1">
    <field x="-2"/>
  </colFields>
  <colItems count="2">
    <i>
      <x/>
    </i>
    <i i="1">
      <x v="1"/>
    </i>
  </colItems>
  <dataFields count="2">
    <dataField name="Sum of Deposit Amount" fld="8" baseField="0" baseItem="0" numFmtId="164"/>
    <dataField name="Sum of Withdrawal Amount" fld="9" baseField="0" baseItem="0" numFmtId="164"/>
  </dataFields>
  <formats count="4">
    <format dxfId="9">
      <pivotArea outline="0" collapsedLevelsAreSubtotals="1" fieldPosition="0">
        <references count="1">
          <reference field="4294967294" count="1" selected="0">
            <x v="0"/>
          </reference>
        </references>
      </pivotArea>
    </format>
    <format dxfId="8">
      <pivotArea dataOnly="0" labelOnly="1" outline="0" fieldPosition="0">
        <references count="1">
          <reference field="4294967294" count="1">
            <x v="0"/>
          </reference>
        </references>
      </pivotArea>
    </format>
    <format dxfId="7">
      <pivotArea outline="0" collapsedLevelsAreSubtotals="1" fieldPosition="0">
        <references count="1">
          <reference field="4294967294" count="1" selected="0">
            <x v="1"/>
          </reference>
        </references>
      </pivotArea>
    </format>
    <format dxfId="6">
      <pivotArea dataOnly="0" labelOnly="1" outline="0" fieldPosition="0">
        <references count="1">
          <reference field="4294967294" count="1">
            <x v="1"/>
          </reference>
        </references>
      </pivotArea>
    </format>
  </formats>
  <chartFormats count="4">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20" format="4"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0F4AD3-5668-476F-A2FC-6528FB1EEE2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35" firstHeaderRow="1" firstDataRow="1" firstDataCol="1"/>
  <pivotFields count="22">
    <pivotField showAll="0"/>
    <pivotField axis="axisRow" numFmtId="14" showAll="0">
      <items count="343">
        <item x="278"/>
        <item x="33"/>
        <item x="285"/>
        <item x="45"/>
        <item x="0"/>
        <item x="178"/>
        <item x="19"/>
        <item x="79"/>
        <item x="135"/>
        <item x="90"/>
        <item x="155"/>
        <item x="141"/>
        <item x="308"/>
        <item x="281"/>
        <item x="86"/>
        <item x="217"/>
        <item x="36"/>
        <item x="212"/>
        <item x="144"/>
        <item x="286"/>
        <item x="283"/>
        <item x="195"/>
        <item x="80"/>
        <item x="244"/>
        <item x="245"/>
        <item x="111"/>
        <item x="14"/>
        <item x="49"/>
        <item x="30"/>
        <item x="237"/>
        <item x="152"/>
        <item x="154"/>
        <item x="3"/>
        <item x="224"/>
        <item x="20"/>
        <item x="203"/>
        <item x="297"/>
        <item x="163"/>
        <item x="307"/>
        <item x="293"/>
        <item x="139"/>
        <item x="220"/>
        <item x="193"/>
        <item x="317"/>
        <item x="37"/>
        <item x="265"/>
        <item x="64"/>
        <item x="205"/>
        <item x="300"/>
        <item x="87"/>
        <item x="8"/>
        <item x="190"/>
        <item x="48"/>
        <item x="213"/>
        <item x="82"/>
        <item x="233"/>
        <item x="251"/>
        <item x="171"/>
        <item x="216"/>
        <item x="71"/>
        <item x="50"/>
        <item x="67"/>
        <item x="84"/>
        <item x="127"/>
        <item x="242"/>
        <item x="191"/>
        <item x="194"/>
        <item x="222"/>
        <item x="257"/>
        <item x="254"/>
        <item x="16"/>
        <item x="117"/>
        <item x="161"/>
        <item x="44"/>
        <item x="128"/>
        <item x="207"/>
        <item x="18"/>
        <item x="142"/>
        <item x="124"/>
        <item x="267"/>
        <item x="326"/>
        <item x="316"/>
        <item x="170"/>
        <item x="330"/>
        <item x="327"/>
        <item x="329"/>
        <item x="68"/>
        <item x="145"/>
        <item x="167"/>
        <item x="284"/>
        <item x="99"/>
        <item x="91"/>
        <item x="234"/>
        <item x="57"/>
        <item x="65"/>
        <item x="313"/>
        <item x="160"/>
        <item x="56"/>
        <item x="105"/>
        <item x="186"/>
        <item x="165"/>
        <item x="315"/>
        <item x="2"/>
        <item x="150"/>
        <item x="228"/>
        <item x="211"/>
        <item x="258"/>
        <item x="162"/>
        <item x="287"/>
        <item x="169"/>
        <item x="241"/>
        <item x="158"/>
        <item x="208"/>
        <item x="108"/>
        <item x="236"/>
        <item x="24"/>
        <item x="43"/>
        <item x="226"/>
        <item x="131"/>
        <item x="199"/>
        <item x="10"/>
        <item x="100"/>
        <item x="206"/>
        <item x="109"/>
        <item x="253"/>
        <item x="263"/>
        <item x="198"/>
        <item x="46"/>
        <item x="334"/>
        <item x="230"/>
        <item x="204"/>
        <item x="47"/>
        <item x="305"/>
        <item x="118"/>
        <item x="133"/>
        <item x="189"/>
        <item x="11"/>
        <item x="103"/>
        <item x="184"/>
        <item x="75"/>
        <item x="74"/>
        <item x="26"/>
        <item x="248"/>
        <item x="119"/>
        <item x="98"/>
        <item x="140"/>
        <item x="12"/>
        <item x="259"/>
        <item x="147"/>
        <item x="324"/>
        <item x="4"/>
        <item x="175"/>
        <item x="209"/>
        <item x="277"/>
        <item x="21"/>
        <item x="110"/>
        <item x="229"/>
        <item x="341"/>
        <item x="41"/>
        <item x="177"/>
        <item x="288"/>
        <item x="138"/>
        <item x="1"/>
        <item x="321"/>
        <item x="113"/>
        <item x="116"/>
        <item x="114"/>
        <item x="221"/>
        <item x="223"/>
        <item x="260"/>
        <item x="77"/>
        <item x="323"/>
        <item x="232"/>
        <item x="231"/>
        <item x="102"/>
        <item x="306"/>
        <item x="168"/>
        <item x="32"/>
        <item x="270"/>
        <item x="106"/>
        <item x="266"/>
        <item x="73"/>
        <item x="7"/>
        <item x="202"/>
        <item x="264"/>
        <item x="172"/>
        <item x="93"/>
        <item x="60"/>
        <item x="156"/>
        <item x="29"/>
        <item x="35"/>
        <item x="72"/>
        <item x="240"/>
        <item x="256"/>
        <item x="337"/>
        <item x="70"/>
        <item x="129"/>
        <item x="322"/>
        <item x="120"/>
        <item x="38"/>
        <item x="247"/>
        <item x="78"/>
        <item x="115"/>
        <item x="290"/>
        <item x="328"/>
        <item x="123"/>
        <item x="318"/>
        <item x="61"/>
        <item x="66"/>
        <item x="134"/>
        <item x="333"/>
        <item x="31"/>
        <item x="17"/>
        <item x="149"/>
        <item x="62"/>
        <item x="81"/>
        <item x="275"/>
        <item x="282"/>
        <item x="69"/>
        <item x="53"/>
        <item x="183"/>
        <item x="5"/>
        <item x="215"/>
        <item x="95"/>
        <item x="25"/>
        <item x="192"/>
        <item x="85"/>
        <item x="63"/>
        <item x="126"/>
        <item x="96"/>
        <item x="112"/>
        <item x="122"/>
        <item x="201"/>
        <item x="311"/>
        <item x="196"/>
        <item x="23"/>
        <item x="294"/>
        <item x="274"/>
        <item x="173"/>
        <item x="121"/>
        <item x="246"/>
        <item x="89"/>
        <item x="261"/>
        <item x="339"/>
        <item x="166"/>
        <item x="187"/>
        <item x="40"/>
        <item x="227"/>
        <item x="298"/>
        <item x="310"/>
        <item x="302"/>
        <item x="104"/>
        <item x="59"/>
        <item x="22"/>
        <item x="182"/>
        <item x="185"/>
        <item x="58"/>
        <item x="296"/>
        <item x="239"/>
        <item x="164"/>
        <item x="272"/>
        <item x="42"/>
        <item x="235"/>
        <item x="292"/>
        <item x="218"/>
        <item x="27"/>
        <item x="52"/>
        <item x="136"/>
        <item x="279"/>
        <item x="312"/>
        <item x="83"/>
        <item x="214"/>
        <item x="320"/>
        <item x="51"/>
        <item x="262"/>
        <item x="276"/>
        <item x="340"/>
        <item x="304"/>
        <item x="335"/>
        <item x="39"/>
        <item x="107"/>
        <item x="225"/>
        <item x="338"/>
        <item x="97"/>
        <item x="137"/>
        <item x="238"/>
        <item x="34"/>
        <item x="174"/>
        <item x="125"/>
        <item x="303"/>
        <item x="314"/>
        <item x="92"/>
        <item x="159"/>
        <item x="200"/>
        <item x="6"/>
        <item x="319"/>
        <item x="336"/>
        <item x="188"/>
        <item x="151"/>
        <item x="301"/>
        <item x="252"/>
        <item x="101"/>
        <item x="280"/>
        <item x="176"/>
        <item x="15"/>
        <item x="269"/>
        <item x="291"/>
        <item x="55"/>
        <item x="179"/>
        <item x="295"/>
        <item x="143"/>
        <item x="153"/>
        <item x="132"/>
        <item x="130"/>
        <item x="157"/>
        <item x="271"/>
        <item x="219"/>
        <item x="273"/>
        <item x="88"/>
        <item x="249"/>
        <item x="28"/>
        <item x="197"/>
        <item x="76"/>
        <item x="325"/>
        <item x="9"/>
        <item x="243"/>
        <item x="94"/>
        <item x="13"/>
        <item x="255"/>
        <item x="309"/>
        <item x="180"/>
        <item x="289"/>
        <item x="146"/>
        <item x="181"/>
        <item x="148"/>
        <item x="250"/>
        <item x="331"/>
        <item x="268"/>
        <item x="210"/>
        <item x="332"/>
        <item x="299"/>
        <item x="54"/>
        <item t="default"/>
      </items>
    </pivotField>
    <pivotField axis="axisRow" showAll="0">
      <items count="13">
        <item x="0"/>
        <item h="1" x="3"/>
        <item h="1" x="9"/>
        <item h="1" x="2"/>
        <item h="1" x="8"/>
        <item h="1" x="1"/>
        <item h="1" x="6"/>
        <item h="1" x="4"/>
        <item h="1" x="10"/>
        <item h="1" x="11"/>
        <item h="1" x="5"/>
        <item h="1" x="7"/>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2">
    <field x="2"/>
    <field x="1"/>
  </rowFields>
  <rowItems count="32">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t="grand">
      <x/>
    </i>
  </rowItems>
  <colItems count="1">
    <i/>
  </colItems>
  <dataFields count="1">
    <dataField name="Sum of Loan Amount" fld="10" baseField="0" baseItem="0" numFmtId="164"/>
  </dataFields>
  <formats count="2">
    <format dxfId="5">
      <pivotArea outline="0" collapsedLevelsAreSubtotals="1" fieldPosition="0"/>
    </format>
    <format dxfId="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306F6E-45B4-40DB-B76A-37B462E9481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33" firstHeaderRow="1" firstDataRow="1" firstDataCol="1"/>
  <pivotFields count="22">
    <pivotField showAll="0"/>
    <pivotField axis="axisRow" numFmtId="14" showAll="0">
      <items count="343">
        <item x="278"/>
        <item x="33"/>
        <item x="285"/>
        <item x="45"/>
        <item x="0"/>
        <item x="178"/>
        <item x="19"/>
        <item x="79"/>
        <item x="135"/>
        <item x="90"/>
        <item x="155"/>
        <item x="141"/>
        <item x="308"/>
        <item x="281"/>
        <item x="86"/>
        <item x="217"/>
        <item x="36"/>
        <item x="212"/>
        <item x="144"/>
        <item x="286"/>
        <item x="283"/>
        <item x="195"/>
        <item x="80"/>
        <item x="244"/>
        <item x="245"/>
        <item x="111"/>
        <item x="14"/>
        <item x="49"/>
        <item x="30"/>
        <item x="237"/>
        <item x="152"/>
        <item x="154"/>
        <item x="3"/>
        <item x="224"/>
        <item x="20"/>
        <item x="203"/>
        <item x="297"/>
        <item x="163"/>
        <item x="307"/>
        <item x="293"/>
        <item x="139"/>
        <item x="220"/>
        <item x="193"/>
        <item x="317"/>
        <item x="37"/>
        <item x="265"/>
        <item x="64"/>
        <item x="205"/>
        <item x="300"/>
        <item x="87"/>
        <item x="8"/>
        <item x="190"/>
        <item x="48"/>
        <item x="213"/>
        <item x="82"/>
        <item x="233"/>
        <item x="251"/>
        <item x="171"/>
        <item x="216"/>
        <item x="71"/>
        <item x="50"/>
        <item x="67"/>
        <item x="84"/>
        <item x="127"/>
        <item x="242"/>
        <item x="191"/>
        <item x="194"/>
        <item x="222"/>
        <item x="257"/>
        <item x="254"/>
        <item x="16"/>
        <item x="117"/>
        <item x="161"/>
        <item x="44"/>
        <item x="128"/>
        <item x="207"/>
        <item x="18"/>
        <item x="142"/>
        <item x="124"/>
        <item x="267"/>
        <item x="326"/>
        <item x="316"/>
        <item x="170"/>
        <item x="330"/>
        <item x="327"/>
        <item x="329"/>
        <item x="68"/>
        <item x="145"/>
        <item x="167"/>
        <item x="284"/>
        <item x="99"/>
        <item x="91"/>
        <item x="234"/>
        <item x="57"/>
        <item x="65"/>
        <item x="313"/>
        <item x="160"/>
        <item x="56"/>
        <item x="105"/>
        <item x="186"/>
        <item x="165"/>
        <item x="315"/>
        <item x="2"/>
        <item x="150"/>
        <item x="228"/>
        <item x="211"/>
        <item x="258"/>
        <item x="162"/>
        <item x="287"/>
        <item x="169"/>
        <item x="241"/>
        <item x="158"/>
        <item x="208"/>
        <item x="108"/>
        <item x="236"/>
        <item x="24"/>
        <item x="43"/>
        <item x="226"/>
        <item x="131"/>
        <item x="199"/>
        <item x="10"/>
        <item x="100"/>
        <item x="206"/>
        <item x="109"/>
        <item x="253"/>
        <item x="263"/>
        <item x="198"/>
        <item x="46"/>
        <item x="334"/>
        <item x="230"/>
        <item x="204"/>
        <item x="47"/>
        <item x="305"/>
        <item x="118"/>
        <item x="133"/>
        <item x="189"/>
        <item x="11"/>
        <item x="103"/>
        <item x="184"/>
        <item x="75"/>
        <item x="74"/>
        <item x="26"/>
        <item x="248"/>
        <item x="119"/>
        <item x="98"/>
        <item x="140"/>
        <item x="12"/>
        <item x="259"/>
        <item x="147"/>
        <item x="324"/>
        <item x="4"/>
        <item x="175"/>
        <item x="209"/>
        <item x="277"/>
        <item x="21"/>
        <item x="110"/>
        <item x="229"/>
        <item x="341"/>
        <item x="41"/>
        <item x="177"/>
        <item x="288"/>
        <item x="138"/>
        <item x="1"/>
        <item x="321"/>
        <item x="113"/>
        <item x="116"/>
        <item x="114"/>
        <item x="221"/>
        <item x="223"/>
        <item x="260"/>
        <item x="77"/>
        <item x="323"/>
        <item x="232"/>
        <item x="231"/>
        <item x="102"/>
        <item x="306"/>
        <item x="168"/>
        <item x="32"/>
        <item x="270"/>
        <item x="106"/>
        <item x="266"/>
        <item x="73"/>
        <item x="7"/>
        <item x="202"/>
        <item x="264"/>
        <item x="172"/>
        <item x="93"/>
        <item x="60"/>
        <item x="156"/>
        <item x="29"/>
        <item x="35"/>
        <item x="72"/>
        <item x="240"/>
        <item x="256"/>
        <item x="337"/>
        <item x="70"/>
        <item x="129"/>
        <item x="322"/>
        <item x="120"/>
        <item x="38"/>
        <item x="247"/>
        <item x="78"/>
        <item x="115"/>
        <item x="290"/>
        <item x="328"/>
        <item x="123"/>
        <item x="318"/>
        <item x="61"/>
        <item x="66"/>
        <item x="134"/>
        <item x="333"/>
        <item x="31"/>
        <item x="17"/>
        <item x="149"/>
        <item x="62"/>
        <item x="81"/>
        <item x="275"/>
        <item x="282"/>
        <item x="69"/>
        <item x="53"/>
        <item x="183"/>
        <item x="5"/>
        <item x="215"/>
        <item x="95"/>
        <item x="25"/>
        <item x="192"/>
        <item x="85"/>
        <item x="63"/>
        <item x="126"/>
        <item x="96"/>
        <item x="112"/>
        <item x="122"/>
        <item x="201"/>
        <item x="311"/>
        <item x="196"/>
        <item x="23"/>
        <item x="294"/>
        <item x="274"/>
        <item x="173"/>
        <item x="121"/>
        <item x="246"/>
        <item x="89"/>
        <item x="261"/>
        <item x="339"/>
        <item x="166"/>
        <item x="187"/>
        <item x="40"/>
        <item x="227"/>
        <item x="298"/>
        <item x="310"/>
        <item x="302"/>
        <item x="104"/>
        <item x="59"/>
        <item x="22"/>
        <item x="182"/>
        <item x="185"/>
        <item x="58"/>
        <item x="296"/>
        <item x="239"/>
        <item x="164"/>
        <item x="272"/>
        <item x="42"/>
        <item x="235"/>
        <item x="292"/>
        <item x="218"/>
        <item x="27"/>
        <item x="52"/>
        <item x="136"/>
        <item x="279"/>
        <item x="312"/>
        <item x="83"/>
        <item x="214"/>
        <item x="320"/>
        <item x="51"/>
        <item x="262"/>
        <item x="276"/>
        <item x="340"/>
        <item x="304"/>
        <item x="335"/>
        <item x="39"/>
        <item x="107"/>
        <item x="225"/>
        <item x="338"/>
        <item x="97"/>
        <item x="137"/>
        <item x="238"/>
        <item x="34"/>
        <item x="174"/>
        <item x="125"/>
        <item x="303"/>
        <item x="314"/>
        <item x="92"/>
        <item x="159"/>
        <item x="200"/>
        <item x="6"/>
        <item x="319"/>
        <item x="336"/>
        <item x="188"/>
        <item x="151"/>
        <item x="301"/>
        <item x="252"/>
        <item x="101"/>
        <item x="280"/>
        <item x="176"/>
        <item x="15"/>
        <item x="269"/>
        <item x="291"/>
        <item x="55"/>
        <item x="179"/>
        <item x="295"/>
        <item x="143"/>
        <item x="153"/>
        <item x="132"/>
        <item x="130"/>
        <item x="157"/>
        <item x="271"/>
        <item x="219"/>
        <item x="273"/>
        <item x="88"/>
        <item x="249"/>
        <item x="28"/>
        <item x="197"/>
        <item x="76"/>
        <item x="325"/>
        <item x="9"/>
        <item x="243"/>
        <item x="94"/>
        <item x="13"/>
        <item x="255"/>
        <item x="309"/>
        <item x="180"/>
        <item x="289"/>
        <item x="146"/>
        <item x="181"/>
        <item x="148"/>
        <item x="250"/>
        <item x="331"/>
        <item x="268"/>
        <item x="210"/>
        <item x="332"/>
        <item x="299"/>
        <item x="54"/>
        <item t="default"/>
      </items>
    </pivotField>
    <pivotField axis="axisRow" showAll="0">
      <items count="13">
        <item x="0"/>
        <item h="1" x="3"/>
        <item h="1" x="9"/>
        <item h="1" x="2"/>
        <item h="1" x="8"/>
        <item h="1" x="1"/>
        <item h="1" x="6"/>
        <item h="1" x="4"/>
        <item h="1" x="10"/>
        <item h="1" x="11"/>
        <item h="1" x="5"/>
        <item h="1" x="7"/>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2">
    <field x="2"/>
    <field x="1"/>
  </rowFields>
  <rowItems count="32">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t="grand">
      <x/>
    </i>
  </rowItems>
  <colItems count="1">
    <i/>
  </colItems>
  <dataFields count="1">
    <dataField name="Sum of Withdrawal Amount" fld="9" baseField="0" baseItem="0" numFmtId="164"/>
  </dataFields>
  <formats count="2">
    <format dxfId="3">
      <pivotArea outline="0" collapsedLevelsAreSubtotals="1" fieldPosition="0"/>
    </format>
    <format dxfId="2">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FDAD5A-805C-44EA-8B10-1F230CE15417}"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0">
  <location ref="A3:B34" firstHeaderRow="1" firstDataRow="1" firstDataCol="1"/>
  <pivotFields count="22">
    <pivotField showAll="0"/>
    <pivotField axis="axisRow" numFmtId="14" showAll="0">
      <items count="343">
        <item x="278"/>
        <item x="33"/>
        <item x="285"/>
        <item x="45"/>
        <item x="0"/>
        <item x="178"/>
        <item x="19"/>
        <item x="79"/>
        <item x="135"/>
        <item x="90"/>
        <item x="155"/>
        <item x="141"/>
        <item x="308"/>
        <item x="281"/>
        <item x="86"/>
        <item x="217"/>
        <item x="36"/>
        <item x="212"/>
        <item x="144"/>
        <item x="286"/>
        <item x="283"/>
        <item x="195"/>
        <item x="80"/>
        <item x="244"/>
        <item x="245"/>
        <item x="111"/>
        <item x="14"/>
        <item x="49"/>
        <item x="30"/>
        <item x="237"/>
        <item x="152"/>
        <item x="154"/>
        <item x="3"/>
        <item x="224"/>
        <item x="20"/>
        <item x="203"/>
        <item x="297"/>
        <item x="163"/>
        <item x="307"/>
        <item x="293"/>
        <item x="139"/>
        <item x="220"/>
        <item x="193"/>
        <item x="317"/>
        <item x="37"/>
        <item x="265"/>
        <item x="64"/>
        <item x="205"/>
        <item x="300"/>
        <item x="87"/>
        <item x="8"/>
        <item x="190"/>
        <item x="48"/>
        <item x="213"/>
        <item x="82"/>
        <item x="233"/>
        <item x="251"/>
        <item x="171"/>
        <item x="216"/>
        <item x="71"/>
        <item x="50"/>
        <item x="67"/>
        <item x="84"/>
        <item x="127"/>
        <item x="242"/>
        <item x="191"/>
        <item x="194"/>
        <item x="222"/>
        <item x="257"/>
        <item x="254"/>
        <item x="16"/>
        <item x="117"/>
        <item x="161"/>
        <item x="44"/>
        <item x="128"/>
        <item x="207"/>
        <item x="18"/>
        <item x="142"/>
        <item x="124"/>
        <item x="267"/>
        <item x="326"/>
        <item x="316"/>
        <item x="170"/>
        <item x="330"/>
        <item x="327"/>
        <item x="329"/>
        <item x="68"/>
        <item x="145"/>
        <item x="167"/>
        <item x="284"/>
        <item x="99"/>
        <item x="91"/>
        <item x="234"/>
        <item x="57"/>
        <item x="65"/>
        <item x="313"/>
        <item x="160"/>
        <item x="56"/>
        <item x="105"/>
        <item x="186"/>
        <item x="165"/>
        <item x="315"/>
        <item x="2"/>
        <item x="150"/>
        <item x="228"/>
        <item x="211"/>
        <item x="258"/>
        <item x="162"/>
        <item x="287"/>
        <item x="169"/>
        <item x="241"/>
        <item x="158"/>
        <item x="208"/>
        <item x="108"/>
        <item x="236"/>
        <item x="24"/>
        <item x="43"/>
        <item x="226"/>
        <item x="131"/>
        <item x="199"/>
        <item x="10"/>
        <item x="100"/>
        <item x="206"/>
        <item x="109"/>
        <item x="253"/>
        <item x="263"/>
        <item x="198"/>
        <item x="46"/>
        <item x="334"/>
        <item x="230"/>
        <item x="204"/>
        <item x="47"/>
        <item x="305"/>
        <item x="118"/>
        <item x="133"/>
        <item x="189"/>
        <item x="11"/>
        <item x="103"/>
        <item x="184"/>
        <item x="75"/>
        <item x="74"/>
        <item x="26"/>
        <item x="248"/>
        <item x="119"/>
        <item x="98"/>
        <item x="140"/>
        <item x="12"/>
        <item x="259"/>
        <item x="147"/>
        <item x="324"/>
        <item x="4"/>
        <item x="175"/>
        <item x="209"/>
        <item x="277"/>
        <item x="21"/>
        <item x="110"/>
        <item x="229"/>
        <item x="341"/>
        <item x="41"/>
        <item x="177"/>
        <item x="288"/>
        <item x="138"/>
        <item x="1"/>
        <item x="321"/>
        <item x="113"/>
        <item x="116"/>
        <item x="114"/>
        <item x="221"/>
        <item x="223"/>
        <item x="260"/>
        <item x="77"/>
        <item x="323"/>
        <item x="232"/>
        <item x="231"/>
        <item x="102"/>
        <item x="306"/>
        <item x="168"/>
        <item x="32"/>
        <item x="270"/>
        <item x="106"/>
        <item x="266"/>
        <item x="73"/>
        <item x="7"/>
        <item x="202"/>
        <item x="264"/>
        <item x="172"/>
        <item x="93"/>
        <item x="60"/>
        <item x="156"/>
        <item x="29"/>
        <item x="35"/>
        <item x="72"/>
        <item x="240"/>
        <item x="256"/>
        <item x="337"/>
        <item x="70"/>
        <item x="129"/>
        <item x="322"/>
        <item x="120"/>
        <item x="38"/>
        <item x="247"/>
        <item x="78"/>
        <item x="115"/>
        <item x="290"/>
        <item x="328"/>
        <item x="123"/>
        <item x="318"/>
        <item x="61"/>
        <item x="66"/>
        <item x="134"/>
        <item x="333"/>
        <item x="31"/>
        <item x="17"/>
        <item x="149"/>
        <item x="62"/>
        <item x="81"/>
        <item x="275"/>
        <item x="282"/>
        <item x="69"/>
        <item x="53"/>
        <item x="183"/>
        <item x="5"/>
        <item x="215"/>
        <item x="95"/>
        <item x="25"/>
        <item x="192"/>
        <item x="85"/>
        <item x="63"/>
        <item x="126"/>
        <item x="96"/>
        <item x="112"/>
        <item x="122"/>
        <item x="201"/>
        <item x="311"/>
        <item x="196"/>
        <item x="23"/>
        <item x="294"/>
        <item x="274"/>
        <item x="173"/>
        <item x="121"/>
        <item x="246"/>
        <item x="89"/>
        <item x="261"/>
        <item x="339"/>
        <item x="166"/>
        <item x="187"/>
        <item x="40"/>
        <item x="227"/>
        <item x="298"/>
        <item x="310"/>
        <item x="302"/>
        <item x="104"/>
        <item x="59"/>
        <item x="22"/>
        <item x="182"/>
        <item x="185"/>
        <item x="58"/>
        <item x="296"/>
        <item x="239"/>
        <item x="164"/>
        <item x="272"/>
        <item x="42"/>
        <item x="235"/>
        <item x="292"/>
        <item x="218"/>
        <item x="27"/>
        <item x="52"/>
        <item x="136"/>
        <item x="279"/>
        <item x="312"/>
        <item x="83"/>
        <item x="214"/>
        <item x="320"/>
        <item x="51"/>
        <item x="262"/>
        <item x="276"/>
        <item x="340"/>
        <item x="304"/>
        <item x="335"/>
        <item x="39"/>
        <item x="107"/>
        <item x="225"/>
        <item x="338"/>
        <item x="97"/>
        <item x="137"/>
        <item x="238"/>
        <item x="34"/>
        <item x="174"/>
        <item x="125"/>
        <item x="303"/>
        <item x="314"/>
        <item x="92"/>
        <item x="159"/>
        <item x="200"/>
        <item x="6"/>
        <item x="319"/>
        <item x="336"/>
        <item x="188"/>
        <item x="151"/>
        <item x="301"/>
        <item x="252"/>
        <item x="101"/>
        <item x="280"/>
        <item x="176"/>
        <item x="15"/>
        <item x="269"/>
        <item x="291"/>
        <item x="55"/>
        <item x="179"/>
        <item x="295"/>
        <item x="143"/>
        <item x="153"/>
        <item x="132"/>
        <item x="130"/>
        <item x="157"/>
        <item x="271"/>
        <item x="219"/>
        <item x="273"/>
        <item x="88"/>
        <item x="249"/>
        <item x="28"/>
        <item x="197"/>
        <item x="76"/>
        <item x="325"/>
        <item x="9"/>
        <item x="243"/>
        <item x="94"/>
        <item x="13"/>
        <item x="255"/>
        <item x="309"/>
        <item x="180"/>
        <item x="289"/>
        <item x="146"/>
        <item x="181"/>
        <item x="148"/>
        <item x="250"/>
        <item x="331"/>
        <item x="268"/>
        <item x="210"/>
        <item x="332"/>
        <item x="299"/>
        <item x="54"/>
        <item t="default"/>
      </items>
    </pivotField>
    <pivotField axis="axisRow" showAll="0">
      <items count="13">
        <item x="0"/>
        <item h="1" x="3"/>
        <item h="1" x="9"/>
        <item h="1" x="2"/>
        <item h="1" x="8"/>
        <item h="1" x="1"/>
        <item h="1" x="6"/>
        <item h="1" x="4"/>
        <item h="1" x="10"/>
        <item h="1" x="11"/>
        <item h="1" x="5"/>
        <item h="1" x="7"/>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2"/>
    <field x="1"/>
  </rowFields>
  <rowItems count="31">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rowItems>
  <colItems count="1">
    <i/>
  </colItems>
  <dataFields count="1">
    <dataField name="Sum of Deposit Amount" fld="8" baseField="0" baseItem="0" numFmtId="164"/>
  </dataFields>
  <formats count="2">
    <format dxfId="1">
      <pivotArea outline="0" collapsedLevelsAreSubtotals="1" fieldPosition="0"/>
    </format>
    <format dxfId="0">
      <pivotArea dataOnly="0" labelOnly="1" outline="0" axis="axisValues" fieldPosition="0"/>
    </format>
  </formats>
  <chartFormats count="4">
    <chartFormat chart="8"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7CEAE0-4569-4050-BCBD-E88FFC297D9F}"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A3:B11" firstHeaderRow="1" firstDataRow="2" firstDataCol="1"/>
  <pivotFields count="22">
    <pivotField showAll="0"/>
    <pivotField numFmtId="14" showAll="0">
      <items count="343">
        <item x="278"/>
        <item x="33"/>
        <item x="285"/>
        <item x="45"/>
        <item x="0"/>
        <item x="178"/>
        <item x="19"/>
        <item x="79"/>
        <item x="135"/>
        <item x="90"/>
        <item x="155"/>
        <item x="141"/>
        <item x="308"/>
        <item x="281"/>
        <item x="86"/>
        <item x="217"/>
        <item x="36"/>
        <item x="212"/>
        <item x="144"/>
        <item x="286"/>
        <item x="283"/>
        <item x="195"/>
        <item x="80"/>
        <item x="244"/>
        <item x="245"/>
        <item x="111"/>
        <item x="14"/>
        <item x="49"/>
        <item x="30"/>
        <item x="237"/>
        <item x="152"/>
        <item x="154"/>
        <item x="3"/>
        <item x="224"/>
        <item x="20"/>
        <item x="203"/>
        <item x="297"/>
        <item x="163"/>
        <item x="307"/>
        <item x="293"/>
        <item x="139"/>
        <item x="220"/>
        <item x="193"/>
        <item x="317"/>
        <item x="37"/>
        <item x="265"/>
        <item x="64"/>
        <item x="205"/>
        <item x="300"/>
        <item x="87"/>
        <item x="8"/>
        <item x="190"/>
        <item x="48"/>
        <item x="213"/>
        <item x="82"/>
        <item x="233"/>
        <item x="251"/>
        <item x="171"/>
        <item x="216"/>
        <item x="71"/>
        <item x="50"/>
        <item x="67"/>
        <item x="84"/>
        <item x="127"/>
        <item x="242"/>
        <item x="191"/>
        <item x="194"/>
        <item x="222"/>
        <item x="257"/>
        <item x="254"/>
        <item x="16"/>
        <item x="117"/>
        <item x="161"/>
        <item x="44"/>
        <item x="128"/>
        <item x="207"/>
        <item x="18"/>
        <item x="142"/>
        <item x="124"/>
        <item x="267"/>
        <item x="326"/>
        <item x="316"/>
        <item x="170"/>
        <item x="330"/>
        <item x="327"/>
        <item x="329"/>
        <item x="68"/>
        <item x="145"/>
        <item x="167"/>
        <item x="284"/>
        <item x="99"/>
        <item x="91"/>
        <item x="234"/>
        <item x="57"/>
        <item x="65"/>
        <item x="313"/>
        <item x="160"/>
        <item x="56"/>
        <item x="105"/>
        <item x="186"/>
        <item x="165"/>
        <item x="315"/>
        <item x="2"/>
        <item x="150"/>
        <item x="228"/>
        <item x="211"/>
        <item x="258"/>
        <item x="162"/>
        <item x="287"/>
        <item x="169"/>
        <item x="241"/>
        <item x="158"/>
        <item x="208"/>
        <item x="108"/>
        <item x="236"/>
        <item x="24"/>
        <item x="43"/>
        <item x="226"/>
        <item x="131"/>
        <item x="199"/>
        <item x="10"/>
        <item x="100"/>
        <item x="206"/>
        <item x="109"/>
        <item x="253"/>
        <item x="263"/>
        <item x="198"/>
        <item x="46"/>
        <item x="334"/>
        <item x="230"/>
        <item x="204"/>
        <item x="47"/>
        <item x="305"/>
        <item x="118"/>
        <item x="133"/>
        <item x="189"/>
        <item x="11"/>
        <item x="103"/>
        <item x="184"/>
        <item x="75"/>
        <item x="74"/>
        <item x="26"/>
        <item x="248"/>
        <item x="119"/>
        <item x="98"/>
        <item x="140"/>
        <item x="12"/>
        <item x="259"/>
        <item x="147"/>
        <item x="324"/>
        <item x="4"/>
        <item x="175"/>
        <item x="209"/>
        <item x="277"/>
        <item x="21"/>
        <item x="110"/>
        <item x="229"/>
        <item x="341"/>
        <item x="41"/>
        <item x="177"/>
        <item x="288"/>
        <item x="138"/>
        <item x="1"/>
        <item x="321"/>
        <item x="113"/>
        <item x="116"/>
        <item x="114"/>
        <item x="221"/>
        <item x="223"/>
        <item x="260"/>
        <item x="77"/>
        <item x="323"/>
        <item x="232"/>
        <item x="231"/>
        <item x="102"/>
        <item x="306"/>
        <item x="168"/>
        <item x="32"/>
        <item x="270"/>
        <item x="106"/>
        <item x="266"/>
        <item x="73"/>
        <item x="7"/>
        <item x="202"/>
        <item x="264"/>
        <item x="172"/>
        <item x="93"/>
        <item x="60"/>
        <item x="156"/>
        <item x="29"/>
        <item x="35"/>
        <item x="72"/>
        <item x="240"/>
        <item x="256"/>
        <item x="337"/>
        <item x="70"/>
        <item x="129"/>
        <item x="322"/>
        <item x="120"/>
        <item x="38"/>
        <item x="247"/>
        <item x="78"/>
        <item x="115"/>
        <item x="290"/>
        <item x="328"/>
        <item x="123"/>
        <item x="318"/>
        <item x="61"/>
        <item x="66"/>
        <item x="134"/>
        <item x="333"/>
        <item x="31"/>
        <item x="17"/>
        <item x="149"/>
        <item x="62"/>
        <item x="81"/>
        <item x="275"/>
        <item x="282"/>
        <item x="69"/>
        <item x="53"/>
        <item x="183"/>
        <item x="5"/>
        <item x="215"/>
        <item x="95"/>
        <item x="25"/>
        <item x="192"/>
        <item x="85"/>
        <item x="63"/>
        <item x="126"/>
        <item x="96"/>
        <item x="112"/>
        <item x="122"/>
        <item x="201"/>
        <item x="311"/>
        <item x="196"/>
        <item x="23"/>
        <item x="294"/>
        <item x="274"/>
        <item x="173"/>
        <item x="121"/>
        <item x="246"/>
        <item x="89"/>
        <item x="261"/>
        <item x="339"/>
        <item x="166"/>
        <item x="187"/>
        <item x="40"/>
        <item x="227"/>
        <item x="298"/>
        <item x="310"/>
        <item x="302"/>
        <item x="104"/>
        <item x="59"/>
        <item x="22"/>
        <item x="182"/>
        <item x="185"/>
        <item x="58"/>
        <item x="296"/>
        <item x="239"/>
        <item x="164"/>
        <item x="272"/>
        <item x="42"/>
        <item x="235"/>
        <item x="292"/>
        <item x="218"/>
        <item x="27"/>
        <item x="52"/>
        <item x="136"/>
        <item x="279"/>
        <item x="312"/>
        <item x="83"/>
        <item x="214"/>
        <item x="320"/>
        <item x="51"/>
        <item x="262"/>
        <item x="276"/>
        <item x="340"/>
        <item x="304"/>
        <item x="335"/>
        <item x="39"/>
        <item x="107"/>
        <item x="225"/>
        <item x="338"/>
        <item x="97"/>
        <item x="137"/>
        <item x="238"/>
        <item x="34"/>
        <item x="174"/>
        <item x="125"/>
        <item x="303"/>
        <item x="314"/>
        <item x="92"/>
        <item x="159"/>
        <item x="200"/>
        <item x="6"/>
        <item x="319"/>
        <item x="336"/>
        <item x="188"/>
        <item x="151"/>
        <item x="301"/>
        <item x="252"/>
        <item x="101"/>
        <item x="280"/>
        <item x="176"/>
        <item x="15"/>
        <item x="269"/>
        <item x="291"/>
        <item x="55"/>
        <item x="179"/>
        <item x="295"/>
        <item x="143"/>
        <item x="153"/>
        <item x="132"/>
        <item x="130"/>
        <item x="157"/>
        <item x="271"/>
        <item x="219"/>
        <item x="273"/>
        <item x="88"/>
        <item x="249"/>
        <item x="28"/>
        <item x="197"/>
        <item x="76"/>
        <item x="325"/>
        <item x="9"/>
        <item x="243"/>
        <item x="94"/>
        <item x="13"/>
        <item x="255"/>
        <item x="309"/>
        <item x="180"/>
        <item x="289"/>
        <item x="146"/>
        <item x="181"/>
        <item x="148"/>
        <item x="250"/>
        <item x="331"/>
        <item x="268"/>
        <item x="210"/>
        <item x="332"/>
        <item x="299"/>
        <item x="54"/>
        <item t="default"/>
      </items>
    </pivotField>
    <pivotField axis="axisCol" showAll="0">
      <items count="13">
        <item x="0"/>
        <item h="1" x="3"/>
        <item h="1" x="9"/>
        <item h="1" x="2"/>
        <item h="1" x="8"/>
        <item h="1" x="1"/>
        <item h="1" x="6"/>
        <item h="1" x="4"/>
        <item h="1" x="10"/>
        <item h="1" x="11"/>
        <item h="1" x="5"/>
        <item h="1" x="7"/>
        <item t="default"/>
      </items>
    </pivotField>
    <pivotField showAll="0"/>
    <pivotField axis="axisRow" showAll="0">
      <items count="9">
        <item x="4"/>
        <item x="2"/>
        <item x="0"/>
        <item x="5"/>
        <item x="1"/>
        <item x="3"/>
        <item m="1" x="7"/>
        <item x="6"/>
        <item t="default"/>
      </items>
    </pivotField>
    <pivotField showAll="0"/>
    <pivotField showAll="0">
      <items count="5">
        <item x="2"/>
        <item x="0"/>
        <item x="1"/>
        <item x="3"/>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7">
    <i>
      <x/>
    </i>
    <i>
      <x v="1"/>
    </i>
    <i>
      <x v="2"/>
    </i>
    <i>
      <x v="3"/>
    </i>
    <i>
      <x v="4"/>
    </i>
    <i>
      <x v="5"/>
    </i>
    <i>
      <x v="7"/>
    </i>
  </rowItems>
  <colFields count="1">
    <field x="2"/>
  </colFields>
  <colItems count="1">
    <i>
      <x/>
    </i>
  </colItems>
  <dataFields count="1">
    <dataField name="Sum of Deposit Amount" fld="8" baseField="0" baseItem="0"/>
  </dataFields>
  <chartFormats count="131">
    <chartFormat chart="5" format="112" series="1">
      <pivotArea type="data" outline="0" fieldPosition="0">
        <references count="2">
          <reference field="4294967294" count="1" selected="0">
            <x v="0"/>
          </reference>
          <reference field="2" count="1" selected="0">
            <x v="0"/>
          </reference>
        </references>
      </pivotArea>
    </chartFormat>
    <chartFormat chart="5" format="113">
      <pivotArea type="data" outline="0" fieldPosition="0">
        <references count="3">
          <reference field="4294967294" count="1" selected="0">
            <x v="0"/>
          </reference>
          <reference field="2" count="1" selected="0">
            <x v="0"/>
          </reference>
          <reference field="4" count="1" selected="0">
            <x v="0"/>
          </reference>
        </references>
      </pivotArea>
    </chartFormat>
    <chartFormat chart="5" format="114">
      <pivotArea type="data" outline="0" fieldPosition="0">
        <references count="3">
          <reference field="4294967294" count="1" selected="0">
            <x v="0"/>
          </reference>
          <reference field="2" count="1" selected="0">
            <x v="0"/>
          </reference>
          <reference field="4" count="1" selected="0">
            <x v="1"/>
          </reference>
        </references>
      </pivotArea>
    </chartFormat>
    <chartFormat chart="5" format="115">
      <pivotArea type="data" outline="0" fieldPosition="0">
        <references count="3">
          <reference field="4294967294" count="1" selected="0">
            <x v="0"/>
          </reference>
          <reference field="2" count="1" selected="0">
            <x v="0"/>
          </reference>
          <reference field="4" count="1" selected="0">
            <x v="2"/>
          </reference>
        </references>
      </pivotArea>
    </chartFormat>
    <chartFormat chart="5" format="116">
      <pivotArea type="data" outline="0" fieldPosition="0">
        <references count="3">
          <reference field="4294967294" count="1" selected="0">
            <x v="0"/>
          </reference>
          <reference field="2" count="1" selected="0">
            <x v="0"/>
          </reference>
          <reference field="4" count="1" selected="0">
            <x v="3"/>
          </reference>
        </references>
      </pivotArea>
    </chartFormat>
    <chartFormat chart="5" format="117">
      <pivotArea type="data" outline="0" fieldPosition="0">
        <references count="3">
          <reference field="4294967294" count="1" selected="0">
            <x v="0"/>
          </reference>
          <reference field="2" count="1" selected="0">
            <x v="0"/>
          </reference>
          <reference field="4" count="1" selected="0">
            <x v="4"/>
          </reference>
        </references>
      </pivotArea>
    </chartFormat>
    <chartFormat chart="5" format="118">
      <pivotArea type="data" outline="0" fieldPosition="0">
        <references count="3">
          <reference field="4294967294" count="1" selected="0">
            <x v="0"/>
          </reference>
          <reference field="2" count="1" selected="0">
            <x v="0"/>
          </reference>
          <reference field="4" count="1" selected="0">
            <x v="5"/>
          </reference>
        </references>
      </pivotArea>
    </chartFormat>
    <chartFormat chart="5" format="119">
      <pivotArea type="data" outline="0" fieldPosition="0">
        <references count="3">
          <reference field="4294967294" count="1" selected="0">
            <x v="0"/>
          </reference>
          <reference field="2" count="1" selected="0">
            <x v="0"/>
          </reference>
          <reference field="4" count="1" selected="0">
            <x v="7"/>
          </reference>
        </references>
      </pivotArea>
    </chartFormat>
    <chartFormat chart="5" format="120" series="1">
      <pivotArea type="data" outline="0" fieldPosition="0">
        <references count="2">
          <reference field="4294967294" count="1" selected="0">
            <x v="0"/>
          </reference>
          <reference field="2" count="1" selected="0">
            <x v="1"/>
          </reference>
        </references>
      </pivotArea>
    </chartFormat>
    <chartFormat chart="5" format="121">
      <pivotArea type="data" outline="0" fieldPosition="0">
        <references count="3">
          <reference field="4294967294" count="1" selected="0">
            <x v="0"/>
          </reference>
          <reference field="2" count="1" selected="0">
            <x v="1"/>
          </reference>
          <reference field="4" count="1" selected="0">
            <x v="0"/>
          </reference>
        </references>
      </pivotArea>
    </chartFormat>
    <chartFormat chart="5" format="122">
      <pivotArea type="data" outline="0" fieldPosition="0">
        <references count="3">
          <reference field="4294967294" count="1" selected="0">
            <x v="0"/>
          </reference>
          <reference field="2" count="1" selected="0">
            <x v="1"/>
          </reference>
          <reference field="4" count="1" selected="0">
            <x v="1"/>
          </reference>
        </references>
      </pivotArea>
    </chartFormat>
    <chartFormat chart="5" format="123">
      <pivotArea type="data" outline="0" fieldPosition="0">
        <references count="3">
          <reference field="4294967294" count="1" selected="0">
            <x v="0"/>
          </reference>
          <reference field="2" count="1" selected="0">
            <x v="1"/>
          </reference>
          <reference field="4" count="1" selected="0">
            <x v="2"/>
          </reference>
        </references>
      </pivotArea>
    </chartFormat>
    <chartFormat chart="5" format="124">
      <pivotArea type="data" outline="0" fieldPosition="0">
        <references count="3">
          <reference field="4294967294" count="1" selected="0">
            <x v="0"/>
          </reference>
          <reference field="2" count="1" selected="0">
            <x v="1"/>
          </reference>
          <reference field="4" count="1" selected="0">
            <x v="3"/>
          </reference>
        </references>
      </pivotArea>
    </chartFormat>
    <chartFormat chart="5" format="125">
      <pivotArea type="data" outline="0" fieldPosition="0">
        <references count="3">
          <reference field="4294967294" count="1" selected="0">
            <x v="0"/>
          </reference>
          <reference field="2" count="1" selected="0">
            <x v="1"/>
          </reference>
          <reference field="4" count="1" selected="0">
            <x v="4"/>
          </reference>
        </references>
      </pivotArea>
    </chartFormat>
    <chartFormat chart="5" format="126">
      <pivotArea type="data" outline="0" fieldPosition="0">
        <references count="3">
          <reference field="4294967294" count="1" selected="0">
            <x v="0"/>
          </reference>
          <reference field="2" count="1" selected="0">
            <x v="1"/>
          </reference>
          <reference field="4" count="1" selected="0">
            <x v="5"/>
          </reference>
        </references>
      </pivotArea>
    </chartFormat>
    <chartFormat chart="5" format="127">
      <pivotArea type="data" outline="0" fieldPosition="0">
        <references count="3">
          <reference field="4294967294" count="1" selected="0">
            <x v="0"/>
          </reference>
          <reference field="2" count="1" selected="0">
            <x v="1"/>
          </reference>
          <reference field="4" count="1" selected="0">
            <x v="7"/>
          </reference>
        </references>
      </pivotArea>
    </chartFormat>
    <chartFormat chart="5" format="128" series="1">
      <pivotArea type="data" outline="0" fieldPosition="0">
        <references count="2">
          <reference field="4294967294" count="1" selected="0">
            <x v="0"/>
          </reference>
          <reference field="2" count="1" selected="0">
            <x v="2"/>
          </reference>
        </references>
      </pivotArea>
    </chartFormat>
    <chartFormat chart="5" format="129">
      <pivotArea type="data" outline="0" fieldPosition="0">
        <references count="3">
          <reference field="4294967294" count="1" selected="0">
            <x v="0"/>
          </reference>
          <reference field="2" count="1" selected="0">
            <x v="2"/>
          </reference>
          <reference field="4" count="1" selected="0">
            <x v="0"/>
          </reference>
        </references>
      </pivotArea>
    </chartFormat>
    <chartFormat chart="5" format="130">
      <pivotArea type="data" outline="0" fieldPosition="0">
        <references count="3">
          <reference field="4294967294" count="1" selected="0">
            <x v="0"/>
          </reference>
          <reference field="2" count="1" selected="0">
            <x v="2"/>
          </reference>
          <reference field="4" count="1" selected="0">
            <x v="1"/>
          </reference>
        </references>
      </pivotArea>
    </chartFormat>
    <chartFormat chart="5" format="131">
      <pivotArea type="data" outline="0" fieldPosition="0">
        <references count="3">
          <reference field="4294967294" count="1" selected="0">
            <x v="0"/>
          </reference>
          <reference field="2" count="1" selected="0">
            <x v="2"/>
          </reference>
          <reference field="4" count="1" selected="0">
            <x v="2"/>
          </reference>
        </references>
      </pivotArea>
    </chartFormat>
    <chartFormat chart="5" format="132">
      <pivotArea type="data" outline="0" fieldPosition="0">
        <references count="3">
          <reference field="4294967294" count="1" selected="0">
            <x v="0"/>
          </reference>
          <reference field="2" count="1" selected="0">
            <x v="2"/>
          </reference>
          <reference field="4" count="1" selected="0">
            <x v="3"/>
          </reference>
        </references>
      </pivotArea>
    </chartFormat>
    <chartFormat chart="5" format="133">
      <pivotArea type="data" outline="0" fieldPosition="0">
        <references count="3">
          <reference field="4294967294" count="1" selected="0">
            <x v="0"/>
          </reference>
          <reference field="2" count="1" selected="0">
            <x v="2"/>
          </reference>
          <reference field="4" count="1" selected="0">
            <x v="4"/>
          </reference>
        </references>
      </pivotArea>
    </chartFormat>
    <chartFormat chart="5" format="134">
      <pivotArea type="data" outline="0" fieldPosition="0">
        <references count="3">
          <reference field="4294967294" count="1" selected="0">
            <x v="0"/>
          </reference>
          <reference field="2" count="1" selected="0">
            <x v="2"/>
          </reference>
          <reference field="4" count="1" selected="0">
            <x v="5"/>
          </reference>
        </references>
      </pivotArea>
    </chartFormat>
    <chartFormat chart="5" format="135">
      <pivotArea type="data" outline="0" fieldPosition="0">
        <references count="3">
          <reference field="4294967294" count="1" selected="0">
            <x v="0"/>
          </reference>
          <reference field="2" count="1" selected="0">
            <x v="2"/>
          </reference>
          <reference field="4" count="1" selected="0">
            <x v="7"/>
          </reference>
        </references>
      </pivotArea>
    </chartFormat>
    <chartFormat chart="5" format="136" series="1">
      <pivotArea type="data" outline="0" fieldPosition="0">
        <references count="2">
          <reference field="4294967294" count="1" selected="0">
            <x v="0"/>
          </reference>
          <reference field="2" count="1" selected="0">
            <x v="3"/>
          </reference>
        </references>
      </pivotArea>
    </chartFormat>
    <chartFormat chart="5" format="137">
      <pivotArea type="data" outline="0" fieldPosition="0">
        <references count="3">
          <reference field="4294967294" count="1" selected="0">
            <x v="0"/>
          </reference>
          <reference field="2" count="1" selected="0">
            <x v="3"/>
          </reference>
          <reference field="4" count="1" selected="0">
            <x v="0"/>
          </reference>
        </references>
      </pivotArea>
    </chartFormat>
    <chartFormat chart="5" format="138">
      <pivotArea type="data" outline="0" fieldPosition="0">
        <references count="3">
          <reference field="4294967294" count="1" selected="0">
            <x v="0"/>
          </reference>
          <reference field="2" count="1" selected="0">
            <x v="3"/>
          </reference>
          <reference field="4" count="1" selected="0">
            <x v="1"/>
          </reference>
        </references>
      </pivotArea>
    </chartFormat>
    <chartFormat chart="5" format="139">
      <pivotArea type="data" outline="0" fieldPosition="0">
        <references count="3">
          <reference field="4294967294" count="1" selected="0">
            <x v="0"/>
          </reference>
          <reference field="2" count="1" selected="0">
            <x v="3"/>
          </reference>
          <reference field="4" count="1" selected="0">
            <x v="2"/>
          </reference>
        </references>
      </pivotArea>
    </chartFormat>
    <chartFormat chart="5" format="140">
      <pivotArea type="data" outline="0" fieldPosition="0">
        <references count="3">
          <reference field="4294967294" count="1" selected="0">
            <x v="0"/>
          </reference>
          <reference field="2" count="1" selected="0">
            <x v="3"/>
          </reference>
          <reference field="4" count="1" selected="0">
            <x v="3"/>
          </reference>
        </references>
      </pivotArea>
    </chartFormat>
    <chartFormat chart="5" format="141">
      <pivotArea type="data" outline="0" fieldPosition="0">
        <references count="3">
          <reference field="4294967294" count="1" selected="0">
            <x v="0"/>
          </reference>
          <reference field="2" count="1" selected="0">
            <x v="3"/>
          </reference>
          <reference field="4" count="1" selected="0">
            <x v="4"/>
          </reference>
        </references>
      </pivotArea>
    </chartFormat>
    <chartFormat chart="5" format="142">
      <pivotArea type="data" outline="0" fieldPosition="0">
        <references count="3">
          <reference field="4294967294" count="1" selected="0">
            <x v="0"/>
          </reference>
          <reference field="2" count="1" selected="0">
            <x v="3"/>
          </reference>
          <reference field="4" count="1" selected="0">
            <x v="5"/>
          </reference>
        </references>
      </pivotArea>
    </chartFormat>
    <chartFormat chart="5" format="143">
      <pivotArea type="data" outline="0" fieldPosition="0">
        <references count="3">
          <reference field="4294967294" count="1" selected="0">
            <x v="0"/>
          </reference>
          <reference field="2" count="1" selected="0">
            <x v="3"/>
          </reference>
          <reference field="4" count="1" selected="0">
            <x v="7"/>
          </reference>
        </references>
      </pivotArea>
    </chartFormat>
    <chartFormat chart="5" format="144" series="1">
      <pivotArea type="data" outline="0" fieldPosition="0">
        <references count="2">
          <reference field="4294967294" count="1" selected="0">
            <x v="0"/>
          </reference>
          <reference field="2" count="1" selected="0">
            <x v="4"/>
          </reference>
        </references>
      </pivotArea>
    </chartFormat>
    <chartFormat chart="5" format="145">
      <pivotArea type="data" outline="0" fieldPosition="0">
        <references count="3">
          <reference field="4294967294" count="1" selected="0">
            <x v="0"/>
          </reference>
          <reference field="2" count="1" selected="0">
            <x v="4"/>
          </reference>
          <reference field="4" count="1" selected="0">
            <x v="0"/>
          </reference>
        </references>
      </pivotArea>
    </chartFormat>
    <chartFormat chart="5" format="146">
      <pivotArea type="data" outline="0" fieldPosition="0">
        <references count="3">
          <reference field="4294967294" count="1" selected="0">
            <x v="0"/>
          </reference>
          <reference field="2" count="1" selected="0">
            <x v="4"/>
          </reference>
          <reference field="4" count="1" selected="0">
            <x v="1"/>
          </reference>
        </references>
      </pivotArea>
    </chartFormat>
    <chartFormat chart="5" format="147">
      <pivotArea type="data" outline="0" fieldPosition="0">
        <references count="3">
          <reference field="4294967294" count="1" selected="0">
            <x v="0"/>
          </reference>
          <reference field="2" count="1" selected="0">
            <x v="4"/>
          </reference>
          <reference field="4" count="1" selected="0">
            <x v="2"/>
          </reference>
        </references>
      </pivotArea>
    </chartFormat>
    <chartFormat chart="5" format="148">
      <pivotArea type="data" outline="0" fieldPosition="0">
        <references count="3">
          <reference field="4294967294" count="1" selected="0">
            <x v="0"/>
          </reference>
          <reference field="2" count="1" selected="0">
            <x v="4"/>
          </reference>
          <reference field="4" count="1" selected="0">
            <x v="3"/>
          </reference>
        </references>
      </pivotArea>
    </chartFormat>
    <chartFormat chart="5" format="149">
      <pivotArea type="data" outline="0" fieldPosition="0">
        <references count="3">
          <reference field="4294967294" count="1" selected="0">
            <x v="0"/>
          </reference>
          <reference field="2" count="1" selected="0">
            <x v="4"/>
          </reference>
          <reference field="4" count="1" selected="0">
            <x v="4"/>
          </reference>
        </references>
      </pivotArea>
    </chartFormat>
    <chartFormat chart="5" format="150">
      <pivotArea type="data" outline="0" fieldPosition="0">
        <references count="3">
          <reference field="4294967294" count="1" selected="0">
            <x v="0"/>
          </reference>
          <reference field="2" count="1" selected="0">
            <x v="4"/>
          </reference>
          <reference field="4" count="1" selected="0">
            <x v="5"/>
          </reference>
        </references>
      </pivotArea>
    </chartFormat>
    <chartFormat chart="5" format="151">
      <pivotArea type="data" outline="0" fieldPosition="0">
        <references count="3">
          <reference field="4294967294" count="1" selected="0">
            <x v="0"/>
          </reference>
          <reference field="2" count="1" selected="0">
            <x v="4"/>
          </reference>
          <reference field="4" count="1" selected="0">
            <x v="7"/>
          </reference>
        </references>
      </pivotArea>
    </chartFormat>
    <chartFormat chart="5" format="152" series="1">
      <pivotArea type="data" outline="0" fieldPosition="0">
        <references count="2">
          <reference field="4294967294" count="1" selected="0">
            <x v="0"/>
          </reference>
          <reference field="2" count="1" selected="0">
            <x v="5"/>
          </reference>
        </references>
      </pivotArea>
    </chartFormat>
    <chartFormat chart="5" format="153">
      <pivotArea type="data" outline="0" fieldPosition="0">
        <references count="3">
          <reference field="4294967294" count="1" selected="0">
            <x v="0"/>
          </reference>
          <reference field="2" count="1" selected="0">
            <x v="5"/>
          </reference>
          <reference field="4" count="1" selected="0">
            <x v="0"/>
          </reference>
        </references>
      </pivotArea>
    </chartFormat>
    <chartFormat chart="5" format="154">
      <pivotArea type="data" outline="0" fieldPosition="0">
        <references count="3">
          <reference field="4294967294" count="1" selected="0">
            <x v="0"/>
          </reference>
          <reference field="2" count="1" selected="0">
            <x v="5"/>
          </reference>
          <reference field="4" count="1" selected="0">
            <x v="1"/>
          </reference>
        </references>
      </pivotArea>
    </chartFormat>
    <chartFormat chart="5" format="155">
      <pivotArea type="data" outline="0" fieldPosition="0">
        <references count="3">
          <reference field="4294967294" count="1" selected="0">
            <x v="0"/>
          </reference>
          <reference field="2" count="1" selected="0">
            <x v="5"/>
          </reference>
          <reference field="4" count="1" selected="0">
            <x v="2"/>
          </reference>
        </references>
      </pivotArea>
    </chartFormat>
    <chartFormat chart="5" format="156">
      <pivotArea type="data" outline="0" fieldPosition="0">
        <references count="3">
          <reference field="4294967294" count="1" selected="0">
            <x v="0"/>
          </reference>
          <reference field="2" count="1" selected="0">
            <x v="5"/>
          </reference>
          <reference field="4" count="1" selected="0">
            <x v="3"/>
          </reference>
        </references>
      </pivotArea>
    </chartFormat>
    <chartFormat chart="5" format="157">
      <pivotArea type="data" outline="0" fieldPosition="0">
        <references count="3">
          <reference field="4294967294" count="1" selected="0">
            <x v="0"/>
          </reference>
          <reference field="2" count="1" selected="0">
            <x v="5"/>
          </reference>
          <reference field="4" count="1" selected="0">
            <x v="4"/>
          </reference>
        </references>
      </pivotArea>
    </chartFormat>
    <chartFormat chart="5" format="158">
      <pivotArea type="data" outline="0" fieldPosition="0">
        <references count="3">
          <reference field="4294967294" count="1" selected="0">
            <x v="0"/>
          </reference>
          <reference field="2" count="1" selected="0">
            <x v="5"/>
          </reference>
          <reference field="4" count="1" selected="0">
            <x v="5"/>
          </reference>
        </references>
      </pivotArea>
    </chartFormat>
    <chartFormat chart="5" format="159">
      <pivotArea type="data" outline="0" fieldPosition="0">
        <references count="3">
          <reference field="4294967294" count="1" selected="0">
            <x v="0"/>
          </reference>
          <reference field="2" count="1" selected="0">
            <x v="5"/>
          </reference>
          <reference field="4" count="1" selected="0">
            <x v="7"/>
          </reference>
        </references>
      </pivotArea>
    </chartFormat>
    <chartFormat chart="5" format="160" series="1">
      <pivotArea type="data" outline="0" fieldPosition="0">
        <references count="2">
          <reference field="4294967294" count="1" selected="0">
            <x v="0"/>
          </reference>
          <reference field="2" count="1" selected="0">
            <x v="6"/>
          </reference>
        </references>
      </pivotArea>
    </chartFormat>
    <chartFormat chart="5" format="161">
      <pivotArea type="data" outline="0" fieldPosition="0">
        <references count="3">
          <reference field="4294967294" count="1" selected="0">
            <x v="0"/>
          </reference>
          <reference field="2" count="1" selected="0">
            <x v="6"/>
          </reference>
          <reference field="4" count="1" selected="0">
            <x v="0"/>
          </reference>
        </references>
      </pivotArea>
    </chartFormat>
    <chartFormat chart="5" format="162">
      <pivotArea type="data" outline="0" fieldPosition="0">
        <references count="3">
          <reference field="4294967294" count="1" selected="0">
            <x v="0"/>
          </reference>
          <reference field="2" count="1" selected="0">
            <x v="6"/>
          </reference>
          <reference field="4" count="1" selected="0">
            <x v="1"/>
          </reference>
        </references>
      </pivotArea>
    </chartFormat>
    <chartFormat chart="5" format="163">
      <pivotArea type="data" outline="0" fieldPosition="0">
        <references count="3">
          <reference field="4294967294" count="1" selected="0">
            <x v="0"/>
          </reference>
          <reference field="2" count="1" selected="0">
            <x v="6"/>
          </reference>
          <reference field="4" count="1" selected="0">
            <x v="2"/>
          </reference>
        </references>
      </pivotArea>
    </chartFormat>
    <chartFormat chart="5" format="164">
      <pivotArea type="data" outline="0" fieldPosition="0">
        <references count="3">
          <reference field="4294967294" count="1" selected="0">
            <x v="0"/>
          </reference>
          <reference field="2" count="1" selected="0">
            <x v="6"/>
          </reference>
          <reference field="4" count="1" selected="0">
            <x v="3"/>
          </reference>
        </references>
      </pivotArea>
    </chartFormat>
    <chartFormat chart="5" format="165">
      <pivotArea type="data" outline="0" fieldPosition="0">
        <references count="3">
          <reference field="4294967294" count="1" selected="0">
            <x v="0"/>
          </reference>
          <reference field="2" count="1" selected="0">
            <x v="6"/>
          </reference>
          <reference field="4" count="1" selected="0">
            <x v="4"/>
          </reference>
        </references>
      </pivotArea>
    </chartFormat>
    <chartFormat chart="5" format="166">
      <pivotArea type="data" outline="0" fieldPosition="0">
        <references count="3">
          <reference field="4294967294" count="1" selected="0">
            <x v="0"/>
          </reference>
          <reference field="2" count="1" selected="0">
            <x v="6"/>
          </reference>
          <reference field="4" count="1" selected="0">
            <x v="5"/>
          </reference>
        </references>
      </pivotArea>
    </chartFormat>
    <chartFormat chart="5" format="167">
      <pivotArea type="data" outline="0" fieldPosition="0">
        <references count="3">
          <reference field="4294967294" count="1" selected="0">
            <x v="0"/>
          </reference>
          <reference field="2" count="1" selected="0">
            <x v="6"/>
          </reference>
          <reference field="4" count="1" selected="0">
            <x v="7"/>
          </reference>
        </references>
      </pivotArea>
    </chartFormat>
    <chartFormat chart="5" format="168" series="1">
      <pivotArea type="data" outline="0" fieldPosition="0">
        <references count="2">
          <reference field="4294967294" count="1" selected="0">
            <x v="0"/>
          </reference>
          <reference field="2" count="1" selected="0">
            <x v="7"/>
          </reference>
        </references>
      </pivotArea>
    </chartFormat>
    <chartFormat chart="5" format="169">
      <pivotArea type="data" outline="0" fieldPosition="0">
        <references count="3">
          <reference field="4294967294" count="1" selected="0">
            <x v="0"/>
          </reference>
          <reference field="2" count="1" selected="0">
            <x v="7"/>
          </reference>
          <reference field="4" count="1" selected="0">
            <x v="0"/>
          </reference>
        </references>
      </pivotArea>
    </chartFormat>
    <chartFormat chart="5" format="170">
      <pivotArea type="data" outline="0" fieldPosition="0">
        <references count="3">
          <reference field="4294967294" count="1" selected="0">
            <x v="0"/>
          </reference>
          <reference field="2" count="1" selected="0">
            <x v="7"/>
          </reference>
          <reference field="4" count="1" selected="0">
            <x v="1"/>
          </reference>
        </references>
      </pivotArea>
    </chartFormat>
    <chartFormat chart="5" format="171">
      <pivotArea type="data" outline="0" fieldPosition="0">
        <references count="3">
          <reference field="4294967294" count="1" selected="0">
            <x v="0"/>
          </reference>
          <reference field="2" count="1" selected="0">
            <x v="7"/>
          </reference>
          <reference field="4" count="1" selected="0">
            <x v="2"/>
          </reference>
        </references>
      </pivotArea>
    </chartFormat>
    <chartFormat chart="5" format="172">
      <pivotArea type="data" outline="0" fieldPosition="0">
        <references count="3">
          <reference field="4294967294" count="1" selected="0">
            <x v="0"/>
          </reference>
          <reference field="2" count="1" selected="0">
            <x v="7"/>
          </reference>
          <reference field="4" count="1" selected="0">
            <x v="3"/>
          </reference>
        </references>
      </pivotArea>
    </chartFormat>
    <chartFormat chart="5" format="173">
      <pivotArea type="data" outline="0" fieldPosition="0">
        <references count="3">
          <reference field="4294967294" count="1" selected="0">
            <x v="0"/>
          </reference>
          <reference field="2" count="1" selected="0">
            <x v="7"/>
          </reference>
          <reference field="4" count="1" selected="0">
            <x v="4"/>
          </reference>
        </references>
      </pivotArea>
    </chartFormat>
    <chartFormat chart="5" format="174">
      <pivotArea type="data" outline="0" fieldPosition="0">
        <references count="3">
          <reference field="4294967294" count="1" selected="0">
            <x v="0"/>
          </reference>
          <reference field="2" count="1" selected="0">
            <x v="7"/>
          </reference>
          <reference field="4" count="1" selected="0">
            <x v="5"/>
          </reference>
        </references>
      </pivotArea>
    </chartFormat>
    <chartFormat chart="5" format="175">
      <pivotArea type="data" outline="0" fieldPosition="0">
        <references count="3">
          <reference field="4294967294" count="1" selected="0">
            <x v="0"/>
          </reference>
          <reference field="2" count="1" selected="0">
            <x v="7"/>
          </reference>
          <reference field="4" count="1" selected="0">
            <x v="7"/>
          </reference>
        </references>
      </pivotArea>
    </chartFormat>
    <chartFormat chart="5" format="176" series="1">
      <pivotArea type="data" outline="0" fieldPosition="0">
        <references count="2">
          <reference field="4294967294" count="1" selected="0">
            <x v="0"/>
          </reference>
          <reference field="2" count="1" selected="0">
            <x v="8"/>
          </reference>
        </references>
      </pivotArea>
    </chartFormat>
    <chartFormat chart="5" format="177">
      <pivotArea type="data" outline="0" fieldPosition="0">
        <references count="3">
          <reference field="4294967294" count="1" selected="0">
            <x v="0"/>
          </reference>
          <reference field="2" count="1" selected="0">
            <x v="8"/>
          </reference>
          <reference field="4" count="1" selected="0">
            <x v="0"/>
          </reference>
        </references>
      </pivotArea>
    </chartFormat>
    <chartFormat chart="5" format="178">
      <pivotArea type="data" outline="0" fieldPosition="0">
        <references count="3">
          <reference field="4294967294" count="1" selected="0">
            <x v="0"/>
          </reference>
          <reference field="2" count="1" selected="0">
            <x v="8"/>
          </reference>
          <reference field="4" count="1" selected="0">
            <x v="1"/>
          </reference>
        </references>
      </pivotArea>
    </chartFormat>
    <chartFormat chart="5" format="179">
      <pivotArea type="data" outline="0" fieldPosition="0">
        <references count="3">
          <reference field="4294967294" count="1" selected="0">
            <x v="0"/>
          </reference>
          <reference field="2" count="1" selected="0">
            <x v="8"/>
          </reference>
          <reference field="4" count="1" selected="0">
            <x v="2"/>
          </reference>
        </references>
      </pivotArea>
    </chartFormat>
    <chartFormat chart="5" format="180">
      <pivotArea type="data" outline="0" fieldPosition="0">
        <references count="3">
          <reference field="4294967294" count="1" selected="0">
            <x v="0"/>
          </reference>
          <reference field="2" count="1" selected="0">
            <x v="8"/>
          </reference>
          <reference field="4" count="1" selected="0">
            <x v="3"/>
          </reference>
        </references>
      </pivotArea>
    </chartFormat>
    <chartFormat chart="5" format="181">
      <pivotArea type="data" outline="0" fieldPosition="0">
        <references count="3">
          <reference field="4294967294" count="1" selected="0">
            <x v="0"/>
          </reference>
          <reference field="2" count="1" selected="0">
            <x v="8"/>
          </reference>
          <reference field="4" count="1" selected="0">
            <x v="4"/>
          </reference>
        </references>
      </pivotArea>
    </chartFormat>
    <chartFormat chart="5" format="182">
      <pivotArea type="data" outline="0" fieldPosition="0">
        <references count="3">
          <reference field="4294967294" count="1" selected="0">
            <x v="0"/>
          </reference>
          <reference field="2" count="1" selected="0">
            <x v="8"/>
          </reference>
          <reference field="4" count="1" selected="0">
            <x v="5"/>
          </reference>
        </references>
      </pivotArea>
    </chartFormat>
    <chartFormat chart="5" format="183">
      <pivotArea type="data" outline="0" fieldPosition="0">
        <references count="3">
          <reference field="4294967294" count="1" selected="0">
            <x v="0"/>
          </reference>
          <reference field="2" count="1" selected="0">
            <x v="8"/>
          </reference>
          <reference field="4" count="1" selected="0">
            <x v="7"/>
          </reference>
        </references>
      </pivotArea>
    </chartFormat>
    <chartFormat chart="5" format="184" series="1">
      <pivotArea type="data" outline="0" fieldPosition="0">
        <references count="2">
          <reference field="4294967294" count="1" selected="0">
            <x v="0"/>
          </reference>
          <reference field="2" count="1" selected="0">
            <x v="9"/>
          </reference>
        </references>
      </pivotArea>
    </chartFormat>
    <chartFormat chart="5" format="185">
      <pivotArea type="data" outline="0" fieldPosition="0">
        <references count="3">
          <reference field="4294967294" count="1" selected="0">
            <x v="0"/>
          </reference>
          <reference field="2" count="1" selected="0">
            <x v="9"/>
          </reference>
          <reference field="4" count="1" selected="0">
            <x v="0"/>
          </reference>
        </references>
      </pivotArea>
    </chartFormat>
    <chartFormat chart="5" format="186">
      <pivotArea type="data" outline="0" fieldPosition="0">
        <references count="3">
          <reference field="4294967294" count="1" selected="0">
            <x v="0"/>
          </reference>
          <reference field="2" count="1" selected="0">
            <x v="9"/>
          </reference>
          <reference field="4" count="1" selected="0">
            <x v="1"/>
          </reference>
        </references>
      </pivotArea>
    </chartFormat>
    <chartFormat chart="5" format="187">
      <pivotArea type="data" outline="0" fieldPosition="0">
        <references count="3">
          <reference field="4294967294" count="1" selected="0">
            <x v="0"/>
          </reference>
          <reference field="2" count="1" selected="0">
            <x v="9"/>
          </reference>
          <reference field="4" count="1" selected="0">
            <x v="2"/>
          </reference>
        </references>
      </pivotArea>
    </chartFormat>
    <chartFormat chart="5" format="188">
      <pivotArea type="data" outline="0" fieldPosition="0">
        <references count="3">
          <reference field="4294967294" count="1" selected="0">
            <x v="0"/>
          </reference>
          <reference field="2" count="1" selected="0">
            <x v="9"/>
          </reference>
          <reference field="4" count="1" selected="0">
            <x v="3"/>
          </reference>
        </references>
      </pivotArea>
    </chartFormat>
    <chartFormat chart="5" format="189">
      <pivotArea type="data" outline="0" fieldPosition="0">
        <references count="3">
          <reference field="4294967294" count="1" selected="0">
            <x v="0"/>
          </reference>
          <reference field="2" count="1" selected="0">
            <x v="9"/>
          </reference>
          <reference field="4" count="1" selected="0">
            <x v="4"/>
          </reference>
        </references>
      </pivotArea>
    </chartFormat>
    <chartFormat chart="5" format="190">
      <pivotArea type="data" outline="0" fieldPosition="0">
        <references count="3">
          <reference field="4294967294" count="1" selected="0">
            <x v="0"/>
          </reference>
          <reference field="2" count="1" selected="0">
            <x v="9"/>
          </reference>
          <reference field="4" count="1" selected="0">
            <x v="5"/>
          </reference>
        </references>
      </pivotArea>
    </chartFormat>
    <chartFormat chart="5" format="191">
      <pivotArea type="data" outline="0" fieldPosition="0">
        <references count="3">
          <reference field="4294967294" count="1" selected="0">
            <x v="0"/>
          </reference>
          <reference field="2" count="1" selected="0">
            <x v="9"/>
          </reference>
          <reference field="4" count="1" selected="0">
            <x v="7"/>
          </reference>
        </references>
      </pivotArea>
    </chartFormat>
    <chartFormat chart="5" format="192" series="1">
      <pivotArea type="data" outline="0" fieldPosition="0">
        <references count="2">
          <reference field="4294967294" count="1" selected="0">
            <x v="0"/>
          </reference>
          <reference field="2" count="1" selected="0">
            <x v="10"/>
          </reference>
        </references>
      </pivotArea>
    </chartFormat>
    <chartFormat chart="5" format="193">
      <pivotArea type="data" outline="0" fieldPosition="0">
        <references count="3">
          <reference field="4294967294" count="1" selected="0">
            <x v="0"/>
          </reference>
          <reference field="2" count="1" selected="0">
            <x v="10"/>
          </reference>
          <reference field="4" count="1" selected="0">
            <x v="0"/>
          </reference>
        </references>
      </pivotArea>
    </chartFormat>
    <chartFormat chart="5" format="194">
      <pivotArea type="data" outline="0" fieldPosition="0">
        <references count="3">
          <reference field="4294967294" count="1" selected="0">
            <x v="0"/>
          </reference>
          <reference field="2" count="1" selected="0">
            <x v="10"/>
          </reference>
          <reference field="4" count="1" selected="0">
            <x v="1"/>
          </reference>
        </references>
      </pivotArea>
    </chartFormat>
    <chartFormat chart="5" format="195">
      <pivotArea type="data" outline="0" fieldPosition="0">
        <references count="3">
          <reference field="4294967294" count="1" selected="0">
            <x v="0"/>
          </reference>
          <reference field="2" count="1" selected="0">
            <x v="10"/>
          </reference>
          <reference field="4" count="1" selected="0">
            <x v="2"/>
          </reference>
        </references>
      </pivotArea>
    </chartFormat>
    <chartFormat chart="5" format="196">
      <pivotArea type="data" outline="0" fieldPosition="0">
        <references count="3">
          <reference field="4294967294" count="1" selected="0">
            <x v="0"/>
          </reference>
          <reference field="2" count="1" selected="0">
            <x v="10"/>
          </reference>
          <reference field="4" count="1" selected="0">
            <x v="3"/>
          </reference>
        </references>
      </pivotArea>
    </chartFormat>
    <chartFormat chart="5" format="197">
      <pivotArea type="data" outline="0" fieldPosition="0">
        <references count="3">
          <reference field="4294967294" count="1" selected="0">
            <x v="0"/>
          </reference>
          <reference field="2" count="1" selected="0">
            <x v="10"/>
          </reference>
          <reference field="4" count="1" selected="0">
            <x v="4"/>
          </reference>
        </references>
      </pivotArea>
    </chartFormat>
    <chartFormat chart="5" format="198">
      <pivotArea type="data" outline="0" fieldPosition="0">
        <references count="3">
          <reference field="4294967294" count="1" selected="0">
            <x v="0"/>
          </reference>
          <reference field="2" count="1" selected="0">
            <x v="10"/>
          </reference>
          <reference field="4" count="1" selected="0">
            <x v="5"/>
          </reference>
        </references>
      </pivotArea>
    </chartFormat>
    <chartFormat chart="5" format="199">
      <pivotArea type="data" outline="0" fieldPosition="0">
        <references count="3">
          <reference field="4294967294" count="1" selected="0">
            <x v="0"/>
          </reference>
          <reference field="2" count="1" selected="0">
            <x v="10"/>
          </reference>
          <reference field="4" count="1" selected="0">
            <x v="7"/>
          </reference>
        </references>
      </pivotArea>
    </chartFormat>
    <chartFormat chart="5" format="200" series="1">
      <pivotArea type="data" outline="0" fieldPosition="0">
        <references count="2">
          <reference field="4294967294" count="1" selected="0">
            <x v="0"/>
          </reference>
          <reference field="2" count="1" selected="0">
            <x v="11"/>
          </reference>
        </references>
      </pivotArea>
    </chartFormat>
    <chartFormat chart="5" format="201">
      <pivotArea type="data" outline="0" fieldPosition="0">
        <references count="3">
          <reference field="4294967294" count="1" selected="0">
            <x v="0"/>
          </reference>
          <reference field="2" count="1" selected="0">
            <x v="11"/>
          </reference>
          <reference field="4" count="1" selected="0">
            <x v="0"/>
          </reference>
        </references>
      </pivotArea>
    </chartFormat>
    <chartFormat chart="5" format="202">
      <pivotArea type="data" outline="0" fieldPosition="0">
        <references count="3">
          <reference field="4294967294" count="1" selected="0">
            <x v="0"/>
          </reference>
          <reference field="2" count="1" selected="0">
            <x v="11"/>
          </reference>
          <reference field="4" count="1" selected="0">
            <x v="1"/>
          </reference>
        </references>
      </pivotArea>
    </chartFormat>
    <chartFormat chart="5" format="203">
      <pivotArea type="data" outline="0" fieldPosition="0">
        <references count="3">
          <reference field="4294967294" count="1" selected="0">
            <x v="0"/>
          </reference>
          <reference field="2" count="1" selected="0">
            <x v="11"/>
          </reference>
          <reference field="4" count="1" selected="0">
            <x v="2"/>
          </reference>
        </references>
      </pivotArea>
    </chartFormat>
    <chartFormat chart="5" format="204">
      <pivotArea type="data" outline="0" fieldPosition="0">
        <references count="3">
          <reference field="4294967294" count="1" selected="0">
            <x v="0"/>
          </reference>
          <reference field="2" count="1" selected="0">
            <x v="11"/>
          </reference>
          <reference field="4" count="1" selected="0">
            <x v="3"/>
          </reference>
        </references>
      </pivotArea>
    </chartFormat>
    <chartFormat chart="5" format="205">
      <pivotArea type="data" outline="0" fieldPosition="0">
        <references count="3">
          <reference field="4294967294" count="1" selected="0">
            <x v="0"/>
          </reference>
          <reference field="2" count="1" selected="0">
            <x v="11"/>
          </reference>
          <reference field="4" count="1" selected="0">
            <x v="4"/>
          </reference>
        </references>
      </pivotArea>
    </chartFormat>
    <chartFormat chart="5" format="206">
      <pivotArea type="data" outline="0" fieldPosition="0">
        <references count="3">
          <reference field="4294967294" count="1" selected="0">
            <x v="0"/>
          </reference>
          <reference field="2" count="1" selected="0">
            <x v="11"/>
          </reference>
          <reference field="4" count="1" selected="0">
            <x v="5"/>
          </reference>
        </references>
      </pivotArea>
    </chartFormat>
    <chartFormat chart="5" format="207">
      <pivotArea type="data" outline="0" fieldPosition="0">
        <references count="3">
          <reference field="4294967294" count="1" selected="0">
            <x v="0"/>
          </reference>
          <reference field="2" count="1" selected="0">
            <x v="11"/>
          </reference>
          <reference field="4" count="1" selected="0">
            <x v="7"/>
          </reference>
        </references>
      </pivotArea>
    </chartFormat>
    <chartFormat chart="5" format="208" series="1">
      <pivotArea type="data" outline="0" fieldPosition="0">
        <references count="1">
          <reference field="4294967294" count="1" selected="0">
            <x v="0"/>
          </reference>
        </references>
      </pivotArea>
    </chartFormat>
    <chartFormat chart="5" format="209">
      <pivotArea type="data" outline="0" fieldPosition="0">
        <references count="2">
          <reference field="4294967294" count="1" selected="0">
            <x v="0"/>
          </reference>
          <reference field="4" count="1" selected="0">
            <x v="1"/>
          </reference>
        </references>
      </pivotArea>
    </chartFormat>
    <chartFormat chart="5" format="210">
      <pivotArea type="data" outline="0" fieldPosition="0">
        <references count="2">
          <reference field="4294967294" count="1" selected="0">
            <x v="0"/>
          </reference>
          <reference field="4" count="1" selected="0">
            <x v="2"/>
          </reference>
        </references>
      </pivotArea>
    </chartFormat>
    <chartFormat chart="5" format="211">
      <pivotArea type="data" outline="0" fieldPosition="0">
        <references count="2">
          <reference field="4294967294" count="1" selected="0">
            <x v="0"/>
          </reference>
          <reference field="4" count="1" selected="0">
            <x v="3"/>
          </reference>
        </references>
      </pivotArea>
    </chartFormat>
    <chartFormat chart="5" format="212">
      <pivotArea type="data" outline="0" fieldPosition="0">
        <references count="2">
          <reference field="4294967294" count="1" selected="0">
            <x v="0"/>
          </reference>
          <reference field="4" count="1" selected="0">
            <x v="4"/>
          </reference>
        </references>
      </pivotArea>
    </chartFormat>
    <chartFormat chart="5" format="213">
      <pivotArea type="data" outline="0" fieldPosition="0">
        <references count="2">
          <reference field="4294967294" count="1" selected="0">
            <x v="0"/>
          </reference>
          <reference field="4" count="1" selected="0">
            <x v="5"/>
          </reference>
        </references>
      </pivotArea>
    </chartFormat>
    <chartFormat chart="5" format="214">
      <pivotArea type="data" outline="0" fieldPosition="0">
        <references count="2">
          <reference field="4294967294" count="1" selected="0">
            <x v="0"/>
          </reference>
          <reference field="4" count="1" selected="0">
            <x v="0"/>
          </reference>
        </references>
      </pivotArea>
    </chartFormat>
    <chartFormat chart="5" format="215">
      <pivotArea type="data" outline="0" fieldPosition="0">
        <references count="2">
          <reference field="4294967294" count="1" selected="0">
            <x v="0"/>
          </reference>
          <reference field="4" count="1" selected="0">
            <x v="7"/>
          </reference>
        </references>
      </pivotArea>
    </chartFormat>
    <chartFormat chart="11" format="16" series="1">
      <pivotArea type="data" outline="0" fieldPosition="0">
        <references count="1">
          <reference field="4294967294" count="1" selected="0">
            <x v="0"/>
          </reference>
        </references>
      </pivotArea>
    </chartFormat>
    <chartFormat chart="12" format="17" series="1">
      <pivotArea type="data" outline="0" fieldPosition="0">
        <references count="1">
          <reference field="4294967294" count="1" selected="0">
            <x v="0"/>
          </reference>
        </references>
      </pivotArea>
    </chartFormat>
    <chartFormat chart="24" format="0" series="1">
      <pivotArea type="data" outline="0" fieldPosition="0">
        <references count="2">
          <reference field="4294967294" count="1" selected="0">
            <x v="0"/>
          </reference>
          <reference field="2" count="1" selected="0">
            <x v="0"/>
          </reference>
        </references>
      </pivotArea>
    </chartFormat>
    <chartFormat chart="24" format="1" series="1">
      <pivotArea type="data" outline="0" fieldPosition="0">
        <references count="2">
          <reference field="4294967294" count="1" selected="0">
            <x v="0"/>
          </reference>
          <reference field="2" count="1" selected="0">
            <x v="1"/>
          </reference>
        </references>
      </pivotArea>
    </chartFormat>
    <chartFormat chart="24" format="2" series="1">
      <pivotArea type="data" outline="0" fieldPosition="0">
        <references count="2">
          <reference field="4294967294" count="1" selected="0">
            <x v="0"/>
          </reference>
          <reference field="2" count="1" selected="0">
            <x v="2"/>
          </reference>
        </references>
      </pivotArea>
    </chartFormat>
    <chartFormat chart="24" format="3" series="1">
      <pivotArea type="data" outline="0" fieldPosition="0">
        <references count="2">
          <reference field="4294967294" count="1" selected="0">
            <x v="0"/>
          </reference>
          <reference field="2" count="1" selected="0">
            <x v="3"/>
          </reference>
        </references>
      </pivotArea>
    </chartFormat>
    <chartFormat chart="24" format="4" series="1">
      <pivotArea type="data" outline="0" fieldPosition="0">
        <references count="2">
          <reference field="4294967294" count="1" selected="0">
            <x v="0"/>
          </reference>
          <reference field="2" count="1" selected="0">
            <x v="4"/>
          </reference>
        </references>
      </pivotArea>
    </chartFormat>
    <chartFormat chart="24" format="5" series="1">
      <pivotArea type="data" outline="0" fieldPosition="0">
        <references count="2">
          <reference field="4294967294" count="1" selected="0">
            <x v="0"/>
          </reference>
          <reference field="2" count="1" selected="0">
            <x v="5"/>
          </reference>
        </references>
      </pivotArea>
    </chartFormat>
    <chartFormat chart="24" format="6" series="1">
      <pivotArea type="data" outline="0" fieldPosition="0">
        <references count="2">
          <reference field="4294967294" count="1" selected="0">
            <x v="0"/>
          </reference>
          <reference field="2" count="1" selected="0">
            <x v="6"/>
          </reference>
        </references>
      </pivotArea>
    </chartFormat>
    <chartFormat chart="24" format="7" series="1">
      <pivotArea type="data" outline="0" fieldPosition="0">
        <references count="2">
          <reference field="4294967294" count="1" selected="0">
            <x v="0"/>
          </reference>
          <reference field="2" count="1" selected="0">
            <x v="7"/>
          </reference>
        </references>
      </pivotArea>
    </chartFormat>
    <chartFormat chart="24" format="8" series="1">
      <pivotArea type="data" outline="0" fieldPosition="0">
        <references count="2">
          <reference field="4294967294" count="1" selected="0">
            <x v="0"/>
          </reference>
          <reference field="2" count="1" selected="0">
            <x v="8"/>
          </reference>
        </references>
      </pivotArea>
    </chartFormat>
    <chartFormat chart="24" format="9" series="1">
      <pivotArea type="data" outline="0" fieldPosition="0">
        <references count="2">
          <reference field="4294967294" count="1" selected="0">
            <x v="0"/>
          </reference>
          <reference field="2" count="1" selected="0">
            <x v="9"/>
          </reference>
        </references>
      </pivotArea>
    </chartFormat>
    <chartFormat chart="24" format="10" series="1">
      <pivotArea type="data" outline="0" fieldPosition="0">
        <references count="2">
          <reference field="4294967294" count="1" selected="0">
            <x v="0"/>
          </reference>
          <reference field="2" count="1" selected="0">
            <x v="10"/>
          </reference>
        </references>
      </pivotArea>
    </chartFormat>
    <chartFormat chart="24" format="11" series="1">
      <pivotArea type="data" outline="0" fieldPosition="0">
        <references count="2">
          <reference field="4294967294" count="1" selected="0">
            <x v="0"/>
          </reference>
          <reference field="2" count="1" selected="0">
            <x v="11"/>
          </reference>
        </references>
      </pivotArea>
    </chartFormat>
    <chartFormat chart="24" format="12" series="1">
      <pivotArea type="data" outline="0" fieldPosition="0">
        <references count="1">
          <reference field="4294967294" count="1" selected="0">
            <x v="0"/>
          </reference>
        </references>
      </pivotArea>
    </chartFormat>
    <chartFormat chart="26" format="14" series="1">
      <pivotArea type="data" outline="0" fieldPosition="0">
        <references count="1">
          <reference field="4294967294" count="1" selected="0">
            <x v="0"/>
          </reference>
        </references>
      </pivotArea>
    </chartFormat>
    <chartFormat chart="26" format="15" series="1">
      <pivotArea type="data" outline="0" fieldPosition="0">
        <references count="2">
          <reference field="4294967294" count="1" selected="0">
            <x v="0"/>
          </reference>
          <reference field="2" count="1" selected="0">
            <x v="1"/>
          </reference>
        </references>
      </pivotArea>
    </chartFormat>
    <chartFormat chart="26" format="16" series="1">
      <pivotArea type="data" outline="0" fieldPosition="0">
        <references count="2">
          <reference field="4294967294" count="1" selected="0">
            <x v="0"/>
          </reference>
          <reference field="2" count="1" selected="0">
            <x v="2"/>
          </reference>
        </references>
      </pivotArea>
    </chartFormat>
    <chartFormat chart="26" format="17" series="1">
      <pivotArea type="data" outline="0" fieldPosition="0">
        <references count="2">
          <reference field="4294967294" count="1" selected="0">
            <x v="0"/>
          </reference>
          <reference field="2" count="1" selected="0">
            <x v="3"/>
          </reference>
        </references>
      </pivotArea>
    </chartFormat>
    <chartFormat chart="26" format="18" series="1">
      <pivotArea type="data" outline="0" fieldPosition="0">
        <references count="2">
          <reference field="4294967294" count="1" selected="0">
            <x v="0"/>
          </reference>
          <reference field="2" count="1" selected="0">
            <x v="4"/>
          </reference>
        </references>
      </pivotArea>
    </chartFormat>
    <chartFormat chart="26" format="19" series="1">
      <pivotArea type="data" outline="0" fieldPosition="0">
        <references count="2">
          <reference field="4294967294" count="1" selected="0">
            <x v="0"/>
          </reference>
          <reference field="2" count="1" selected="0">
            <x v="5"/>
          </reference>
        </references>
      </pivotArea>
    </chartFormat>
    <chartFormat chart="26" format="20" series="1">
      <pivotArea type="data" outline="0" fieldPosition="0">
        <references count="2">
          <reference field="4294967294" count="1" selected="0">
            <x v="0"/>
          </reference>
          <reference field="2" count="1" selected="0">
            <x v="6"/>
          </reference>
        </references>
      </pivotArea>
    </chartFormat>
    <chartFormat chart="26" format="21" series="1">
      <pivotArea type="data" outline="0" fieldPosition="0">
        <references count="2">
          <reference field="4294967294" count="1" selected="0">
            <x v="0"/>
          </reference>
          <reference field="2" count="1" selected="0">
            <x v="7"/>
          </reference>
        </references>
      </pivotArea>
    </chartFormat>
    <chartFormat chart="26" format="22" series="1">
      <pivotArea type="data" outline="0" fieldPosition="0">
        <references count="2">
          <reference field="4294967294" count="1" selected="0">
            <x v="0"/>
          </reference>
          <reference field="2" count="1" selected="0">
            <x v="8"/>
          </reference>
        </references>
      </pivotArea>
    </chartFormat>
    <chartFormat chart="26" format="23" series="1">
      <pivotArea type="data" outline="0" fieldPosition="0">
        <references count="2">
          <reference field="4294967294" count="1" selected="0">
            <x v="0"/>
          </reference>
          <reference field="2" count="1" selected="0">
            <x v="9"/>
          </reference>
        </references>
      </pivotArea>
    </chartFormat>
    <chartFormat chart="26" format="24" series="1">
      <pivotArea type="data" outline="0" fieldPosition="0">
        <references count="2">
          <reference field="4294967294" count="1" selected="0">
            <x v="0"/>
          </reference>
          <reference field="2" count="1" selected="0">
            <x v="10"/>
          </reference>
        </references>
      </pivotArea>
    </chartFormat>
    <chartFormat chart="26" format="25" series="1">
      <pivotArea type="data" outline="0" fieldPosition="0">
        <references count="2">
          <reference field="4294967294" count="1" selected="0">
            <x v="0"/>
          </reference>
          <reference field="2"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FB6518-8E01-4C74-940F-A8492D963F43}"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B9" firstHeaderRow="1" firstDataRow="2" firstDataCol="1"/>
  <pivotFields count="22">
    <pivotField dataField="1" showAll="0"/>
    <pivotField numFmtId="14" showAll="0">
      <items count="343">
        <item x="278"/>
        <item x="33"/>
        <item x="285"/>
        <item x="45"/>
        <item x="0"/>
        <item x="178"/>
        <item x="19"/>
        <item x="79"/>
        <item x="135"/>
        <item x="90"/>
        <item x="155"/>
        <item x="141"/>
        <item x="308"/>
        <item x="281"/>
        <item x="86"/>
        <item x="217"/>
        <item x="36"/>
        <item x="212"/>
        <item x="144"/>
        <item x="286"/>
        <item x="283"/>
        <item x="195"/>
        <item x="80"/>
        <item x="244"/>
        <item x="245"/>
        <item x="111"/>
        <item x="14"/>
        <item x="49"/>
        <item x="30"/>
        <item x="237"/>
        <item x="152"/>
        <item x="154"/>
        <item x="3"/>
        <item x="224"/>
        <item x="20"/>
        <item x="203"/>
        <item x="297"/>
        <item x="163"/>
        <item x="307"/>
        <item x="293"/>
        <item x="139"/>
        <item x="220"/>
        <item x="193"/>
        <item x="317"/>
        <item x="37"/>
        <item x="265"/>
        <item x="64"/>
        <item x="205"/>
        <item x="300"/>
        <item x="87"/>
        <item x="8"/>
        <item x="190"/>
        <item x="48"/>
        <item x="213"/>
        <item x="82"/>
        <item x="233"/>
        <item x="251"/>
        <item x="171"/>
        <item x="216"/>
        <item x="71"/>
        <item x="50"/>
        <item x="67"/>
        <item x="84"/>
        <item x="127"/>
        <item x="242"/>
        <item x="191"/>
        <item x="194"/>
        <item x="222"/>
        <item x="257"/>
        <item x="254"/>
        <item x="16"/>
        <item x="117"/>
        <item x="161"/>
        <item x="44"/>
        <item x="128"/>
        <item x="207"/>
        <item x="18"/>
        <item x="142"/>
        <item x="124"/>
        <item x="267"/>
        <item x="326"/>
        <item x="316"/>
        <item x="170"/>
        <item x="330"/>
        <item x="327"/>
        <item x="329"/>
        <item x="68"/>
        <item x="145"/>
        <item x="167"/>
        <item x="284"/>
        <item x="99"/>
        <item x="91"/>
        <item x="234"/>
        <item x="57"/>
        <item x="65"/>
        <item x="313"/>
        <item x="160"/>
        <item x="56"/>
        <item x="105"/>
        <item x="186"/>
        <item x="165"/>
        <item x="315"/>
        <item x="2"/>
        <item x="150"/>
        <item x="228"/>
        <item x="211"/>
        <item x="258"/>
        <item x="162"/>
        <item x="287"/>
        <item x="169"/>
        <item x="241"/>
        <item x="158"/>
        <item x="208"/>
        <item x="108"/>
        <item x="236"/>
        <item x="24"/>
        <item x="43"/>
        <item x="226"/>
        <item x="131"/>
        <item x="199"/>
        <item x="10"/>
        <item x="100"/>
        <item x="206"/>
        <item x="109"/>
        <item x="253"/>
        <item x="263"/>
        <item x="198"/>
        <item x="46"/>
        <item x="334"/>
        <item x="230"/>
        <item x="204"/>
        <item x="47"/>
        <item x="305"/>
        <item x="118"/>
        <item x="133"/>
        <item x="189"/>
        <item x="11"/>
        <item x="103"/>
        <item x="184"/>
        <item x="75"/>
        <item x="74"/>
        <item x="26"/>
        <item x="248"/>
        <item x="119"/>
        <item x="98"/>
        <item x="140"/>
        <item x="12"/>
        <item x="259"/>
        <item x="147"/>
        <item x="324"/>
        <item x="4"/>
        <item x="175"/>
        <item x="209"/>
        <item x="277"/>
        <item x="21"/>
        <item x="110"/>
        <item x="229"/>
        <item x="341"/>
        <item x="41"/>
        <item x="177"/>
        <item x="288"/>
        <item x="138"/>
        <item x="1"/>
        <item x="321"/>
        <item x="113"/>
        <item x="116"/>
        <item x="114"/>
        <item x="221"/>
        <item x="223"/>
        <item x="260"/>
        <item x="77"/>
        <item x="323"/>
        <item x="232"/>
        <item x="231"/>
        <item x="102"/>
        <item x="306"/>
        <item x="168"/>
        <item x="32"/>
        <item x="270"/>
        <item x="106"/>
        <item x="266"/>
        <item x="73"/>
        <item x="7"/>
        <item x="202"/>
        <item x="264"/>
        <item x="172"/>
        <item x="93"/>
        <item x="60"/>
        <item x="156"/>
        <item x="29"/>
        <item x="35"/>
        <item x="72"/>
        <item x="240"/>
        <item x="256"/>
        <item x="337"/>
        <item x="70"/>
        <item x="129"/>
        <item x="322"/>
        <item x="120"/>
        <item x="38"/>
        <item x="247"/>
        <item x="78"/>
        <item x="115"/>
        <item x="290"/>
        <item x="328"/>
        <item x="123"/>
        <item x="318"/>
        <item x="61"/>
        <item x="66"/>
        <item x="134"/>
        <item x="333"/>
        <item x="31"/>
        <item x="17"/>
        <item x="149"/>
        <item x="62"/>
        <item x="81"/>
        <item x="275"/>
        <item x="282"/>
        <item x="69"/>
        <item x="53"/>
        <item x="183"/>
        <item x="5"/>
        <item x="215"/>
        <item x="95"/>
        <item x="25"/>
        <item x="192"/>
        <item x="85"/>
        <item x="63"/>
        <item x="126"/>
        <item x="96"/>
        <item x="112"/>
        <item x="122"/>
        <item x="201"/>
        <item x="311"/>
        <item x="196"/>
        <item x="23"/>
        <item x="294"/>
        <item x="274"/>
        <item x="173"/>
        <item x="121"/>
        <item x="246"/>
        <item x="89"/>
        <item x="261"/>
        <item x="339"/>
        <item x="166"/>
        <item x="187"/>
        <item x="40"/>
        <item x="227"/>
        <item x="298"/>
        <item x="310"/>
        <item x="302"/>
        <item x="104"/>
        <item x="59"/>
        <item x="22"/>
        <item x="182"/>
        <item x="185"/>
        <item x="58"/>
        <item x="296"/>
        <item x="239"/>
        <item x="164"/>
        <item x="272"/>
        <item x="42"/>
        <item x="235"/>
        <item x="292"/>
        <item x="218"/>
        <item x="27"/>
        <item x="52"/>
        <item x="136"/>
        <item x="279"/>
        <item x="312"/>
        <item x="83"/>
        <item x="214"/>
        <item x="320"/>
        <item x="51"/>
        <item x="262"/>
        <item x="276"/>
        <item x="340"/>
        <item x="304"/>
        <item x="335"/>
        <item x="39"/>
        <item x="107"/>
        <item x="225"/>
        <item x="338"/>
        <item x="97"/>
        <item x="137"/>
        <item x="238"/>
        <item x="34"/>
        <item x="174"/>
        <item x="125"/>
        <item x="303"/>
        <item x="314"/>
        <item x="92"/>
        <item x="159"/>
        <item x="200"/>
        <item x="6"/>
        <item x="319"/>
        <item x="336"/>
        <item x="188"/>
        <item x="151"/>
        <item x="301"/>
        <item x="252"/>
        <item x="101"/>
        <item x="280"/>
        <item x="176"/>
        <item x="15"/>
        <item x="269"/>
        <item x="291"/>
        <item x="55"/>
        <item x="179"/>
        <item x="295"/>
        <item x="143"/>
        <item x="153"/>
        <item x="132"/>
        <item x="130"/>
        <item x="157"/>
        <item x="271"/>
        <item x="219"/>
        <item x="273"/>
        <item x="88"/>
        <item x="249"/>
        <item x="28"/>
        <item x="197"/>
        <item x="76"/>
        <item x="325"/>
        <item x="9"/>
        <item x="243"/>
        <item x="94"/>
        <item x="13"/>
        <item x="255"/>
        <item x="309"/>
        <item x="180"/>
        <item x="289"/>
        <item x="146"/>
        <item x="181"/>
        <item x="148"/>
        <item x="250"/>
        <item x="331"/>
        <item x="268"/>
        <item x="210"/>
        <item x="332"/>
        <item x="299"/>
        <item x="54"/>
        <item t="default"/>
      </items>
    </pivotField>
    <pivotField axis="axisCol" showAll="0">
      <items count="13">
        <item x="0"/>
        <item h="1" x="3"/>
        <item h="1" x="9"/>
        <item h="1" x="2"/>
        <item h="1" x="8"/>
        <item h="1" x="1"/>
        <item h="1" x="6"/>
        <item h="1" x="4"/>
        <item h="1" x="10"/>
        <item h="1" x="11"/>
        <item h="1" x="5"/>
        <item h="1"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4"/>
        <item x="3"/>
        <item x="1"/>
        <item x="0"/>
        <item x="2"/>
        <item t="default"/>
      </items>
    </pivotField>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18"/>
  </rowFields>
  <rowItems count="5">
    <i>
      <x/>
    </i>
    <i>
      <x v="1"/>
    </i>
    <i>
      <x v="2"/>
    </i>
    <i>
      <x v="3"/>
    </i>
    <i>
      <x v="4"/>
    </i>
  </rowItems>
  <colFields count="1">
    <field x="2"/>
  </colFields>
  <colItems count="1">
    <i>
      <x/>
    </i>
  </colItems>
  <dataFields count="1">
    <dataField name="Count of Transaction ID" fld="0" subtotal="count" baseField="0" baseItem="0"/>
  </dataFields>
  <chartFormats count="100">
    <chartFormat chart="1" format="0" series="1">
      <pivotArea type="data" outline="0" fieldPosition="0">
        <references count="2">
          <reference field="4294967294" count="1" selected="0">
            <x v="0"/>
          </reference>
          <reference field="18" count="1" selected="0">
            <x v="0"/>
          </reference>
        </references>
      </pivotArea>
    </chartFormat>
    <chartFormat chart="1" format="1" series="1">
      <pivotArea type="data" outline="0" fieldPosition="0">
        <references count="2">
          <reference field="4294967294" count="1" selected="0">
            <x v="0"/>
          </reference>
          <reference field="18" count="1" selected="0">
            <x v="1"/>
          </reference>
        </references>
      </pivotArea>
    </chartFormat>
    <chartFormat chart="1" format="2" series="1">
      <pivotArea type="data" outline="0" fieldPosition="0">
        <references count="2">
          <reference field="4294967294" count="1" selected="0">
            <x v="0"/>
          </reference>
          <reference field="18" count="1" selected="0">
            <x v="2"/>
          </reference>
        </references>
      </pivotArea>
    </chartFormat>
    <chartFormat chart="1" format="3" series="1">
      <pivotArea type="data" outline="0" fieldPosition="0">
        <references count="2">
          <reference field="4294967294" count="1" selected="0">
            <x v="0"/>
          </reference>
          <reference field="18" count="1" selected="0">
            <x v="3"/>
          </reference>
        </references>
      </pivotArea>
    </chartFormat>
    <chartFormat chart="1" format="4" series="1">
      <pivotArea type="data" outline="0" fieldPosition="0">
        <references count="2">
          <reference field="4294967294" count="1" selected="0">
            <x v="0"/>
          </reference>
          <reference field="18" count="1" selected="0">
            <x v="4"/>
          </reference>
        </references>
      </pivotArea>
    </chartFormat>
    <chartFormat chart="1" format="5" series="1">
      <pivotArea type="data" outline="0" fieldPosition="0">
        <references count="1">
          <reference field="4294967294" count="1" selected="0">
            <x v="0"/>
          </reference>
        </references>
      </pivotArea>
    </chartFormat>
    <chartFormat chart="1" format="6" series="1">
      <pivotArea type="data" outline="0" fieldPosition="0">
        <references count="3">
          <reference field="4294967294" count="1" selected="0">
            <x v="0"/>
          </reference>
          <reference field="2" count="1" selected="0">
            <x v="5"/>
          </reference>
          <reference field="18" count="1" selected="0">
            <x v="0"/>
          </reference>
        </references>
      </pivotArea>
    </chartFormat>
    <chartFormat chart="1" format="7" series="1">
      <pivotArea type="data" outline="0" fieldPosition="0">
        <references count="3">
          <reference field="4294967294" count="1" selected="0">
            <x v="0"/>
          </reference>
          <reference field="2" count="1" selected="0">
            <x v="6"/>
          </reference>
          <reference field="18" count="1" selected="0">
            <x v="0"/>
          </reference>
        </references>
      </pivotArea>
    </chartFormat>
    <chartFormat chart="1" format="8" series="1">
      <pivotArea type="data" outline="0" fieldPosition="0">
        <references count="3">
          <reference field="4294967294" count="1" selected="0">
            <x v="0"/>
          </reference>
          <reference field="2" count="1" selected="0">
            <x v="7"/>
          </reference>
          <reference field="18" count="1" selected="0">
            <x v="0"/>
          </reference>
        </references>
      </pivotArea>
    </chartFormat>
    <chartFormat chart="1" format="9" series="1">
      <pivotArea type="data" outline="0" fieldPosition="0">
        <references count="3">
          <reference field="4294967294" count="1" selected="0">
            <x v="0"/>
          </reference>
          <reference field="2" count="1" selected="0">
            <x v="8"/>
          </reference>
          <reference field="18" count="1" selected="0">
            <x v="0"/>
          </reference>
        </references>
      </pivotArea>
    </chartFormat>
    <chartFormat chart="1" format="10" series="1">
      <pivotArea type="data" outline="0" fieldPosition="0">
        <references count="3">
          <reference field="4294967294" count="1" selected="0">
            <x v="0"/>
          </reference>
          <reference field="2" count="1" selected="0">
            <x v="9"/>
          </reference>
          <reference field="18" count="1" selected="0">
            <x v="0"/>
          </reference>
        </references>
      </pivotArea>
    </chartFormat>
    <chartFormat chart="1" format="11" series="1">
      <pivotArea type="data" outline="0" fieldPosition="0">
        <references count="3">
          <reference field="4294967294" count="1" selected="0">
            <x v="0"/>
          </reference>
          <reference field="2" count="1" selected="0">
            <x v="10"/>
          </reference>
          <reference field="18" count="1" selected="0">
            <x v="0"/>
          </reference>
        </references>
      </pivotArea>
    </chartFormat>
    <chartFormat chart="1" format="12" series="1">
      <pivotArea type="data" outline="0" fieldPosition="0">
        <references count="3">
          <reference field="4294967294" count="1" selected="0">
            <x v="0"/>
          </reference>
          <reference field="2" count="1" selected="0">
            <x v="11"/>
          </reference>
          <reference field="18" count="1" selected="0">
            <x v="0"/>
          </reference>
        </references>
      </pivotArea>
    </chartFormat>
    <chartFormat chart="1" format="13" series="1">
      <pivotArea type="data" outline="0" fieldPosition="0">
        <references count="3">
          <reference field="4294967294" count="1" selected="0">
            <x v="0"/>
          </reference>
          <reference field="2" count="1" selected="0">
            <x v="0"/>
          </reference>
          <reference field="18" count="1" selected="0">
            <x v="1"/>
          </reference>
        </references>
      </pivotArea>
    </chartFormat>
    <chartFormat chart="1" format="14" series="1">
      <pivotArea type="data" outline="0" fieldPosition="0">
        <references count="3">
          <reference field="4294967294" count="1" selected="0">
            <x v="0"/>
          </reference>
          <reference field="2" count="1" selected="0">
            <x v="1"/>
          </reference>
          <reference field="18" count="1" selected="0">
            <x v="1"/>
          </reference>
        </references>
      </pivotArea>
    </chartFormat>
    <chartFormat chart="1" format="15" series="1">
      <pivotArea type="data" outline="0" fieldPosition="0">
        <references count="3">
          <reference field="4294967294" count="1" selected="0">
            <x v="0"/>
          </reference>
          <reference field="2" count="1" selected="0">
            <x v="2"/>
          </reference>
          <reference field="18" count="1" selected="0">
            <x v="1"/>
          </reference>
        </references>
      </pivotArea>
    </chartFormat>
    <chartFormat chart="1" format="16" series="1">
      <pivotArea type="data" outline="0" fieldPosition="0">
        <references count="3">
          <reference field="4294967294" count="1" selected="0">
            <x v="0"/>
          </reference>
          <reference field="2" count="1" selected="0">
            <x v="3"/>
          </reference>
          <reference field="18" count="1" selected="0">
            <x v="1"/>
          </reference>
        </references>
      </pivotArea>
    </chartFormat>
    <chartFormat chart="1" format="17" series="1">
      <pivotArea type="data" outline="0" fieldPosition="0">
        <references count="3">
          <reference field="4294967294" count="1" selected="0">
            <x v="0"/>
          </reference>
          <reference field="2" count="1" selected="0">
            <x v="4"/>
          </reference>
          <reference field="18" count="1" selected="0">
            <x v="1"/>
          </reference>
        </references>
      </pivotArea>
    </chartFormat>
    <chartFormat chart="1" format="18" series="1">
      <pivotArea type="data" outline="0" fieldPosition="0">
        <references count="3">
          <reference field="4294967294" count="1" selected="0">
            <x v="0"/>
          </reference>
          <reference field="2" count="1" selected="0">
            <x v="5"/>
          </reference>
          <reference field="18" count="1" selected="0">
            <x v="1"/>
          </reference>
        </references>
      </pivotArea>
    </chartFormat>
    <chartFormat chart="1" format="19" series="1">
      <pivotArea type="data" outline="0" fieldPosition="0">
        <references count="3">
          <reference field="4294967294" count="1" selected="0">
            <x v="0"/>
          </reference>
          <reference field="2" count="1" selected="0">
            <x v="6"/>
          </reference>
          <reference field="18" count="1" selected="0">
            <x v="1"/>
          </reference>
        </references>
      </pivotArea>
    </chartFormat>
    <chartFormat chart="1" format="20" series="1">
      <pivotArea type="data" outline="0" fieldPosition="0">
        <references count="3">
          <reference field="4294967294" count="1" selected="0">
            <x v="0"/>
          </reference>
          <reference field="2" count="1" selected="0">
            <x v="7"/>
          </reference>
          <reference field="18" count="1" selected="0">
            <x v="1"/>
          </reference>
        </references>
      </pivotArea>
    </chartFormat>
    <chartFormat chart="1" format="21" series="1">
      <pivotArea type="data" outline="0" fieldPosition="0">
        <references count="3">
          <reference field="4294967294" count="1" selected="0">
            <x v="0"/>
          </reference>
          <reference field="2" count="1" selected="0">
            <x v="8"/>
          </reference>
          <reference field="18" count="1" selected="0">
            <x v="1"/>
          </reference>
        </references>
      </pivotArea>
    </chartFormat>
    <chartFormat chart="1" format="22" series="1">
      <pivotArea type="data" outline="0" fieldPosition="0">
        <references count="3">
          <reference field="4294967294" count="1" selected="0">
            <x v="0"/>
          </reference>
          <reference field="2" count="1" selected="0">
            <x v="9"/>
          </reference>
          <reference field="18" count="1" selected="0">
            <x v="1"/>
          </reference>
        </references>
      </pivotArea>
    </chartFormat>
    <chartFormat chart="1" format="23" series="1">
      <pivotArea type="data" outline="0" fieldPosition="0">
        <references count="3">
          <reference field="4294967294" count="1" selected="0">
            <x v="0"/>
          </reference>
          <reference field="2" count="1" selected="0">
            <x v="10"/>
          </reference>
          <reference field="18" count="1" selected="0">
            <x v="1"/>
          </reference>
        </references>
      </pivotArea>
    </chartFormat>
    <chartFormat chart="1" format="24" series="1">
      <pivotArea type="data" outline="0" fieldPosition="0">
        <references count="3">
          <reference field="4294967294" count="1" selected="0">
            <x v="0"/>
          </reference>
          <reference field="2" count="1" selected="0">
            <x v="11"/>
          </reference>
          <reference field="18" count="1" selected="0">
            <x v="1"/>
          </reference>
        </references>
      </pivotArea>
    </chartFormat>
    <chartFormat chart="1" format="25" series="1">
      <pivotArea type="data" outline="0" fieldPosition="0">
        <references count="3">
          <reference field="4294967294" count="1" selected="0">
            <x v="0"/>
          </reference>
          <reference field="2" count="1" selected="0">
            <x v="0"/>
          </reference>
          <reference field="18" count="1" selected="0">
            <x v="2"/>
          </reference>
        </references>
      </pivotArea>
    </chartFormat>
    <chartFormat chart="1" format="26" series="1">
      <pivotArea type="data" outline="0" fieldPosition="0">
        <references count="3">
          <reference field="4294967294" count="1" selected="0">
            <x v="0"/>
          </reference>
          <reference field="2" count="1" selected="0">
            <x v="1"/>
          </reference>
          <reference field="18" count="1" selected="0">
            <x v="2"/>
          </reference>
        </references>
      </pivotArea>
    </chartFormat>
    <chartFormat chart="1" format="27" series="1">
      <pivotArea type="data" outline="0" fieldPosition="0">
        <references count="3">
          <reference field="4294967294" count="1" selected="0">
            <x v="0"/>
          </reference>
          <reference field="2" count="1" selected="0">
            <x v="2"/>
          </reference>
          <reference field="18" count="1" selected="0">
            <x v="2"/>
          </reference>
        </references>
      </pivotArea>
    </chartFormat>
    <chartFormat chart="1" format="28" series="1">
      <pivotArea type="data" outline="0" fieldPosition="0">
        <references count="3">
          <reference field="4294967294" count="1" selected="0">
            <x v="0"/>
          </reference>
          <reference field="2" count="1" selected="0">
            <x v="3"/>
          </reference>
          <reference field="18" count="1" selected="0">
            <x v="2"/>
          </reference>
        </references>
      </pivotArea>
    </chartFormat>
    <chartFormat chart="1" format="29" series="1">
      <pivotArea type="data" outline="0" fieldPosition="0">
        <references count="3">
          <reference field="4294967294" count="1" selected="0">
            <x v="0"/>
          </reference>
          <reference field="2" count="1" selected="0">
            <x v="4"/>
          </reference>
          <reference field="18" count="1" selected="0">
            <x v="2"/>
          </reference>
        </references>
      </pivotArea>
    </chartFormat>
    <chartFormat chart="1" format="30" series="1">
      <pivotArea type="data" outline="0" fieldPosition="0">
        <references count="3">
          <reference field="4294967294" count="1" selected="0">
            <x v="0"/>
          </reference>
          <reference field="2" count="1" selected="0">
            <x v="5"/>
          </reference>
          <reference field="18" count="1" selected="0">
            <x v="2"/>
          </reference>
        </references>
      </pivotArea>
    </chartFormat>
    <chartFormat chart="1" format="31" series="1">
      <pivotArea type="data" outline="0" fieldPosition="0">
        <references count="3">
          <reference field="4294967294" count="1" selected="0">
            <x v="0"/>
          </reference>
          <reference field="2" count="1" selected="0">
            <x v="6"/>
          </reference>
          <reference field="18" count="1" selected="0">
            <x v="2"/>
          </reference>
        </references>
      </pivotArea>
    </chartFormat>
    <chartFormat chart="1" format="32" series="1">
      <pivotArea type="data" outline="0" fieldPosition="0">
        <references count="3">
          <reference field="4294967294" count="1" selected="0">
            <x v="0"/>
          </reference>
          <reference field="2" count="1" selected="0">
            <x v="7"/>
          </reference>
          <reference field="18" count="1" selected="0">
            <x v="2"/>
          </reference>
        </references>
      </pivotArea>
    </chartFormat>
    <chartFormat chart="1" format="33" series="1">
      <pivotArea type="data" outline="0" fieldPosition="0">
        <references count="3">
          <reference field="4294967294" count="1" selected="0">
            <x v="0"/>
          </reference>
          <reference field="2" count="1" selected="0">
            <x v="8"/>
          </reference>
          <reference field="18" count="1" selected="0">
            <x v="2"/>
          </reference>
        </references>
      </pivotArea>
    </chartFormat>
    <chartFormat chart="1" format="34" series="1">
      <pivotArea type="data" outline="0" fieldPosition="0">
        <references count="3">
          <reference field="4294967294" count="1" selected="0">
            <x v="0"/>
          </reference>
          <reference field="2" count="1" selected="0">
            <x v="9"/>
          </reference>
          <reference field="18" count="1" selected="0">
            <x v="2"/>
          </reference>
        </references>
      </pivotArea>
    </chartFormat>
    <chartFormat chart="1" format="35" series="1">
      <pivotArea type="data" outline="0" fieldPosition="0">
        <references count="3">
          <reference field="4294967294" count="1" selected="0">
            <x v="0"/>
          </reference>
          <reference field="2" count="1" selected="0">
            <x v="10"/>
          </reference>
          <reference field="18" count="1" selected="0">
            <x v="2"/>
          </reference>
        </references>
      </pivotArea>
    </chartFormat>
    <chartFormat chart="1" format="36" series="1">
      <pivotArea type="data" outline="0" fieldPosition="0">
        <references count="3">
          <reference field="4294967294" count="1" selected="0">
            <x v="0"/>
          </reference>
          <reference field="2" count="1" selected="0">
            <x v="11"/>
          </reference>
          <reference field="18" count="1" selected="0">
            <x v="2"/>
          </reference>
        </references>
      </pivotArea>
    </chartFormat>
    <chartFormat chart="1" format="37" series="1">
      <pivotArea type="data" outline="0" fieldPosition="0">
        <references count="3">
          <reference field="4294967294" count="1" selected="0">
            <x v="0"/>
          </reference>
          <reference field="2" count="1" selected="0">
            <x v="0"/>
          </reference>
          <reference field="18" count="1" selected="0">
            <x v="3"/>
          </reference>
        </references>
      </pivotArea>
    </chartFormat>
    <chartFormat chart="1" format="38" series="1">
      <pivotArea type="data" outline="0" fieldPosition="0">
        <references count="3">
          <reference field="4294967294" count="1" selected="0">
            <x v="0"/>
          </reference>
          <reference field="2" count="1" selected="0">
            <x v="1"/>
          </reference>
          <reference field="18" count="1" selected="0">
            <x v="3"/>
          </reference>
        </references>
      </pivotArea>
    </chartFormat>
    <chartFormat chart="1" format="39" series="1">
      <pivotArea type="data" outline="0" fieldPosition="0">
        <references count="3">
          <reference field="4294967294" count="1" selected="0">
            <x v="0"/>
          </reference>
          <reference field="2" count="1" selected="0">
            <x v="2"/>
          </reference>
          <reference field="18" count="1" selected="0">
            <x v="3"/>
          </reference>
        </references>
      </pivotArea>
    </chartFormat>
    <chartFormat chart="1" format="40" series="1">
      <pivotArea type="data" outline="0" fieldPosition="0">
        <references count="3">
          <reference field="4294967294" count="1" selected="0">
            <x v="0"/>
          </reference>
          <reference field="2" count="1" selected="0">
            <x v="3"/>
          </reference>
          <reference field="18" count="1" selected="0">
            <x v="3"/>
          </reference>
        </references>
      </pivotArea>
    </chartFormat>
    <chartFormat chart="1" format="41" series="1">
      <pivotArea type="data" outline="0" fieldPosition="0">
        <references count="3">
          <reference field="4294967294" count="1" selected="0">
            <x v="0"/>
          </reference>
          <reference field="2" count="1" selected="0">
            <x v="4"/>
          </reference>
          <reference field="18" count="1" selected="0">
            <x v="3"/>
          </reference>
        </references>
      </pivotArea>
    </chartFormat>
    <chartFormat chart="1" format="42" series="1">
      <pivotArea type="data" outline="0" fieldPosition="0">
        <references count="3">
          <reference field="4294967294" count="1" selected="0">
            <x v="0"/>
          </reference>
          <reference field="2" count="1" selected="0">
            <x v="5"/>
          </reference>
          <reference field="18" count="1" selected="0">
            <x v="3"/>
          </reference>
        </references>
      </pivotArea>
    </chartFormat>
    <chartFormat chart="1" format="43" series="1">
      <pivotArea type="data" outline="0" fieldPosition="0">
        <references count="3">
          <reference field="4294967294" count="1" selected="0">
            <x v="0"/>
          </reference>
          <reference field="2" count="1" selected="0">
            <x v="6"/>
          </reference>
          <reference field="18" count="1" selected="0">
            <x v="3"/>
          </reference>
        </references>
      </pivotArea>
    </chartFormat>
    <chartFormat chart="1" format="44" series="1">
      <pivotArea type="data" outline="0" fieldPosition="0">
        <references count="3">
          <reference field="4294967294" count="1" selected="0">
            <x v="0"/>
          </reference>
          <reference field="2" count="1" selected="0">
            <x v="7"/>
          </reference>
          <reference field="18" count="1" selected="0">
            <x v="3"/>
          </reference>
        </references>
      </pivotArea>
    </chartFormat>
    <chartFormat chart="1" format="45" series="1">
      <pivotArea type="data" outline="0" fieldPosition="0">
        <references count="3">
          <reference field="4294967294" count="1" selected="0">
            <x v="0"/>
          </reference>
          <reference field="2" count="1" selected="0">
            <x v="8"/>
          </reference>
          <reference field="18" count="1" selected="0">
            <x v="3"/>
          </reference>
        </references>
      </pivotArea>
    </chartFormat>
    <chartFormat chart="1" format="46" series="1">
      <pivotArea type="data" outline="0" fieldPosition="0">
        <references count="3">
          <reference field="4294967294" count="1" selected="0">
            <x v="0"/>
          </reference>
          <reference field="2" count="1" selected="0">
            <x v="9"/>
          </reference>
          <reference field="18" count="1" selected="0">
            <x v="3"/>
          </reference>
        </references>
      </pivotArea>
    </chartFormat>
    <chartFormat chart="1" format="47" series="1">
      <pivotArea type="data" outline="0" fieldPosition="0">
        <references count="3">
          <reference field="4294967294" count="1" selected="0">
            <x v="0"/>
          </reference>
          <reference field="2" count="1" selected="0">
            <x v="10"/>
          </reference>
          <reference field="18" count="1" selected="0">
            <x v="3"/>
          </reference>
        </references>
      </pivotArea>
    </chartFormat>
    <chartFormat chart="1" format="48" series="1">
      <pivotArea type="data" outline="0" fieldPosition="0">
        <references count="3">
          <reference field="4294967294" count="1" selected="0">
            <x v="0"/>
          </reference>
          <reference field="2" count="1" selected="0">
            <x v="11"/>
          </reference>
          <reference field="18" count="1" selected="0">
            <x v="3"/>
          </reference>
        </references>
      </pivotArea>
    </chartFormat>
    <chartFormat chart="1" format="49" series="1">
      <pivotArea type="data" outline="0" fieldPosition="0">
        <references count="3">
          <reference field="4294967294" count="1" selected="0">
            <x v="0"/>
          </reference>
          <reference field="2" count="1" selected="0">
            <x v="0"/>
          </reference>
          <reference field="18" count="1" selected="0">
            <x v="4"/>
          </reference>
        </references>
      </pivotArea>
    </chartFormat>
    <chartFormat chart="1" format="50" series="1">
      <pivotArea type="data" outline="0" fieldPosition="0">
        <references count="3">
          <reference field="4294967294" count="1" selected="0">
            <x v="0"/>
          </reference>
          <reference field="2" count="1" selected="0">
            <x v="1"/>
          </reference>
          <reference field="18" count="1" selected="0">
            <x v="4"/>
          </reference>
        </references>
      </pivotArea>
    </chartFormat>
    <chartFormat chart="1" format="51" series="1">
      <pivotArea type="data" outline="0" fieldPosition="0">
        <references count="3">
          <reference field="4294967294" count="1" selected="0">
            <x v="0"/>
          </reference>
          <reference field="2" count="1" selected="0">
            <x v="2"/>
          </reference>
          <reference field="18" count="1" selected="0">
            <x v="4"/>
          </reference>
        </references>
      </pivotArea>
    </chartFormat>
    <chartFormat chart="1" format="52" series="1">
      <pivotArea type="data" outline="0" fieldPosition="0">
        <references count="3">
          <reference field="4294967294" count="1" selected="0">
            <x v="0"/>
          </reference>
          <reference field="2" count="1" selected="0">
            <x v="3"/>
          </reference>
          <reference field="18" count="1" selected="0">
            <x v="4"/>
          </reference>
        </references>
      </pivotArea>
    </chartFormat>
    <chartFormat chart="1" format="53" series="1">
      <pivotArea type="data" outline="0" fieldPosition="0">
        <references count="3">
          <reference field="4294967294" count="1" selected="0">
            <x v="0"/>
          </reference>
          <reference field="2" count="1" selected="0">
            <x v="4"/>
          </reference>
          <reference field="18" count="1" selected="0">
            <x v="4"/>
          </reference>
        </references>
      </pivotArea>
    </chartFormat>
    <chartFormat chart="1" format="54" series="1">
      <pivotArea type="data" outline="0" fieldPosition="0">
        <references count="3">
          <reference field="4294967294" count="1" selected="0">
            <x v="0"/>
          </reference>
          <reference field="2" count="1" selected="0">
            <x v="5"/>
          </reference>
          <reference field="18" count="1" selected="0">
            <x v="4"/>
          </reference>
        </references>
      </pivotArea>
    </chartFormat>
    <chartFormat chart="1" format="55" series="1">
      <pivotArea type="data" outline="0" fieldPosition="0">
        <references count="3">
          <reference field="4294967294" count="1" selected="0">
            <x v="0"/>
          </reference>
          <reference field="2" count="1" selected="0">
            <x v="6"/>
          </reference>
          <reference field="18" count="1" selected="0">
            <x v="4"/>
          </reference>
        </references>
      </pivotArea>
    </chartFormat>
    <chartFormat chart="1" format="56" series="1">
      <pivotArea type="data" outline="0" fieldPosition="0">
        <references count="3">
          <reference field="4294967294" count="1" selected="0">
            <x v="0"/>
          </reference>
          <reference field="2" count="1" selected="0">
            <x v="7"/>
          </reference>
          <reference field="18" count="1" selected="0">
            <x v="4"/>
          </reference>
        </references>
      </pivotArea>
    </chartFormat>
    <chartFormat chart="1" format="57" series="1">
      <pivotArea type="data" outline="0" fieldPosition="0">
        <references count="3">
          <reference field="4294967294" count="1" selected="0">
            <x v="0"/>
          </reference>
          <reference field="2" count="1" selected="0">
            <x v="8"/>
          </reference>
          <reference field="18" count="1" selected="0">
            <x v="4"/>
          </reference>
        </references>
      </pivotArea>
    </chartFormat>
    <chartFormat chart="1" format="58" series="1">
      <pivotArea type="data" outline="0" fieldPosition="0">
        <references count="3">
          <reference field="4294967294" count="1" selected="0">
            <x v="0"/>
          </reference>
          <reference field="2" count="1" selected="0">
            <x v="9"/>
          </reference>
          <reference field="18" count="1" selected="0">
            <x v="4"/>
          </reference>
        </references>
      </pivotArea>
    </chartFormat>
    <chartFormat chart="1" format="59" series="1">
      <pivotArea type="data" outline="0" fieldPosition="0">
        <references count="3">
          <reference field="4294967294" count="1" selected="0">
            <x v="0"/>
          </reference>
          <reference field="2" count="1" selected="0">
            <x v="10"/>
          </reference>
          <reference field="18" count="1" selected="0">
            <x v="4"/>
          </reference>
        </references>
      </pivotArea>
    </chartFormat>
    <chartFormat chart="1" format="60" series="1">
      <pivotArea type="data" outline="0" fieldPosition="0">
        <references count="3">
          <reference field="4294967294" count="1" selected="0">
            <x v="0"/>
          </reference>
          <reference field="2" count="1" selected="0">
            <x v="11"/>
          </reference>
          <reference field="18" count="1" selected="0">
            <x v="4"/>
          </reference>
        </references>
      </pivotArea>
    </chartFormat>
    <chartFormat chart="4" format="61" series="1">
      <pivotArea type="data" outline="0" fieldPosition="0">
        <references count="1">
          <reference field="4294967294" count="1" selected="0">
            <x v="0"/>
          </reference>
        </references>
      </pivotArea>
    </chartFormat>
    <chartFormat chart="4" format="62">
      <pivotArea type="data" outline="0" fieldPosition="0">
        <references count="2">
          <reference field="4294967294" count="1" selected="0">
            <x v="0"/>
          </reference>
          <reference field="18" count="1" selected="0">
            <x v="0"/>
          </reference>
        </references>
      </pivotArea>
    </chartFormat>
    <chartFormat chart="4" format="63">
      <pivotArea type="data" outline="0" fieldPosition="0">
        <references count="2">
          <reference field="4294967294" count="1" selected="0">
            <x v="0"/>
          </reference>
          <reference field="18" count="1" selected="0">
            <x v="1"/>
          </reference>
        </references>
      </pivotArea>
    </chartFormat>
    <chartFormat chart="4" format="64">
      <pivotArea type="data" outline="0" fieldPosition="0">
        <references count="2">
          <reference field="4294967294" count="1" selected="0">
            <x v="0"/>
          </reference>
          <reference field="18" count="1" selected="0">
            <x v="2"/>
          </reference>
        </references>
      </pivotArea>
    </chartFormat>
    <chartFormat chart="4" format="65">
      <pivotArea type="data" outline="0" fieldPosition="0">
        <references count="2">
          <reference field="4294967294" count="1" selected="0">
            <x v="0"/>
          </reference>
          <reference field="18" count="1" selected="0">
            <x v="3"/>
          </reference>
        </references>
      </pivotArea>
    </chartFormat>
    <chartFormat chart="4" format="66">
      <pivotArea type="data" outline="0" fieldPosition="0">
        <references count="2">
          <reference field="4294967294" count="1" selected="0">
            <x v="0"/>
          </reference>
          <reference field="18" count="1" selected="0">
            <x v="4"/>
          </reference>
        </references>
      </pivotArea>
    </chartFormat>
    <chartFormat chart="5" format="67" series="1">
      <pivotArea type="data" outline="0" fieldPosition="0">
        <references count="1">
          <reference field="4294967294" count="1" selected="0">
            <x v="0"/>
          </reference>
        </references>
      </pivotArea>
    </chartFormat>
    <chartFormat chart="5" format="68">
      <pivotArea type="data" outline="0" fieldPosition="0">
        <references count="2">
          <reference field="4294967294" count="1" selected="0">
            <x v="0"/>
          </reference>
          <reference field="18" count="1" selected="0">
            <x v="0"/>
          </reference>
        </references>
      </pivotArea>
    </chartFormat>
    <chartFormat chart="5" format="69">
      <pivotArea type="data" outline="0" fieldPosition="0">
        <references count="2">
          <reference field="4294967294" count="1" selected="0">
            <x v="0"/>
          </reference>
          <reference field="18" count="1" selected="0">
            <x v="1"/>
          </reference>
        </references>
      </pivotArea>
    </chartFormat>
    <chartFormat chart="5" format="70">
      <pivotArea type="data" outline="0" fieldPosition="0">
        <references count="2">
          <reference field="4294967294" count="1" selected="0">
            <x v="0"/>
          </reference>
          <reference field="18" count="1" selected="0">
            <x v="2"/>
          </reference>
        </references>
      </pivotArea>
    </chartFormat>
    <chartFormat chart="5" format="71">
      <pivotArea type="data" outline="0" fieldPosition="0">
        <references count="2">
          <reference field="4294967294" count="1" selected="0">
            <x v="0"/>
          </reference>
          <reference field="18" count="1" selected="0">
            <x v="3"/>
          </reference>
        </references>
      </pivotArea>
    </chartFormat>
    <chartFormat chart="5" format="72">
      <pivotArea type="data" outline="0" fieldPosition="0">
        <references count="2">
          <reference field="4294967294" count="1" selected="0">
            <x v="0"/>
          </reference>
          <reference field="18" count="1" selected="0">
            <x v="4"/>
          </reference>
        </references>
      </pivotArea>
    </chartFormat>
    <chartFormat chart="1" format="61">
      <pivotArea type="data" outline="0" fieldPosition="0">
        <references count="2">
          <reference field="4294967294" count="1" selected="0">
            <x v="0"/>
          </reference>
          <reference field="18" count="1" selected="0">
            <x v="0"/>
          </reference>
        </references>
      </pivotArea>
    </chartFormat>
    <chartFormat chart="1" format="62">
      <pivotArea type="data" outline="0" fieldPosition="0">
        <references count="2">
          <reference field="4294967294" count="1" selected="0">
            <x v="0"/>
          </reference>
          <reference field="18" count="1" selected="0">
            <x v="1"/>
          </reference>
        </references>
      </pivotArea>
    </chartFormat>
    <chartFormat chart="1" format="63">
      <pivotArea type="data" outline="0" fieldPosition="0">
        <references count="2">
          <reference field="4294967294" count="1" selected="0">
            <x v="0"/>
          </reference>
          <reference field="18" count="1" selected="0">
            <x v="2"/>
          </reference>
        </references>
      </pivotArea>
    </chartFormat>
    <chartFormat chart="1" format="64">
      <pivotArea type="data" outline="0" fieldPosition="0">
        <references count="2">
          <reference field="4294967294" count="1" selected="0">
            <x v="0"/>
          </reference>
          <reference field="18" count="1" selected="0">
            <x v="3"/>
          </reference>
        </references>
      </pivotArea>
    </chartFormat>
    <chartFormat chart="1" format="65">
      <pivotArea type="data" outline="0" fieldPosition="0">
        <references count="2">
          <reference field="4294967294" count="1" selected="0">
            <x v="0"/>
          </reference>
          <reference field="18" count="1" selected="0">
            <x v="4"/>
          </reference>
        </references>
      </pivotArea>
    </chartFormat>
    <chartFormat chart="1" format="66" series="1">
      <pivotArea type="data" outline="0" fieldPosition="0">
        <references count="2">
          <reference field="4294967294" count="1" selected="0">
            <x v="0"/>
          </reference>
          <reference field="2" count="1" selected="0">
            <x v="1"/>
          </reference>
        </references>
      </pivotArea>
    </chartFormat>
    <chartFormat chart="5" format="73" series="1">
      <pivotArea type="data" outline="0" fieldPosition="0">
        <references count="2">
          <reference field="4294967294" count="1" selected="0">
            <x v="0"/>
          </reference>
          <reference field="2" count="1" selected="0">
            <x v="1"/>
          </reference>
        </references>
      </pivotArea>
    </chartFormat>
    <chartFormat chart="1" format="67" series="1">
      <pivotArea type="data" outline="0" fieldPosition="0">
        <references count="2">
          <reference field="4294967294" count="1" selected="0">
            <x v="0"/>
          </reference>
          <reference field="2" count="1" selected="0">
            <x v="2"/>
          </reference>
        </references>
      </pivotArea>
    </chartFormat>
    <chartFormat chart="1" format="68" series="1">
      <pivotArea type="data" outline="0" fieldPosition="0">
        <references count="2">
          <reference field="4294967294" count="1" selected="0">
            <x v="0"/>
          </reference>
          <reference field="2" count="1" selected="0">
            <x v="3"/>
          </reference>
        </references>
      </pivotArea>
    </chartFormat>
    <chartFormat chart="1" format="69" series="1">
      <pivotArea type="data" outline="0" fieldPosition="0">
        <references count="2">
          <reference field="4294967294" count="1" selected="0">
            <x v="0"/>
          </reference>
          <reference field="2" count="1" selected="0">
            <x v="4"/>
          </reference>
        </references>
      </pivotArea>
    </chartFormat>
    <chartFormat chart="1" format="70" series="1">
      <pivotArea type="data" outline="0" fieldPosition="0">
        <references count="2">
          <reference field="4294967294" count="1" selected="0">
            <x v="0"/>
          </reference>
          <reference field="2" count="1" selected="0">
            <x v="5"/>
          </reference>
        </references>
      </pivotArea>
    </chartFormat>
    <chartFormat chart="1" format="71" series="1">
      <pivotArea type="data" outline="0" fieldPosition="0">
        <references count="2">
          <reference field="4294967294" count="1" selected="0">
            <x v="0"/>
          </reference>
          <reference field="2" count="1" selected="0">
            <x v="6"/>
          </reference>
        </references>
      </pivotArea>
    </chartFormat>
    <chartFormat chart="1" format="72" series="1">
      <pivotArea type="data" outline="0" fieldPosition="0">
        <references count="2">
          <reference field="4294967294" count="1" selected="0">
            <x v="0"/>
          </reference>
          <reference field="2" count="1" selected="0">
            <x v="7"/>
          </reference>
        </references>
      </pivotArea>
    </chartFormat>
    <chartFormat chart="1" format="73" series="1">
      <pivotArea type="data" outline="0" fieldPosition="0">
        <references count="2">
          <reference field="4294967294" count="1" selected="0">
            <x v="0"/>
          </reference>
          <reference field="2" count="1" selected="0">
            <x v="8"/>
          </reference>
        </references>
      </pivotArea>
    </chartFormat>
    <chartFormat chart="1" format="74" series="1">
      <pivotArea type="data" outline="0" fieldPosition="0">
        <references count="2">
          <reference field="4294967294" count="1" selected="0">
            <x v="0"/>
          </reference>
          <reference field="2" count="1" selected="0">
            <x v="9"/>
          </reference>
        </references>
      </pivotArea>
    </chartFormat>
    <chartFormat chart="1" format="75" series="1">
      <pivotArea type="data" outline="0" fieldPosition="0">
        <references count="2">
          <reference field="4294967294" count="1" selected="0">
            <x v="0"/>
          </reference>
          <reference field="2" count="1" selected="0">
            <x v="10"/>
          </reference>
        </references>
      </pivotArea>
    </chartFormat>
    <chartFormat chart="1" format="76" series="1">
      <pivotArea type="data" outline="0" fieldPosition="0">
        <references count="2">
          <reference field="4294967294" count="1" selected="0">
            <x v="0"/>
          </reference>
          <reference field="2" count="1" selected="0">
            <x v="11"/>
          </reference>
        </references>
      </pivotArea>
    </chartFormat>
    <chartFormat chart="5" format="74" series="1">
      <pivotArea type="data" outline="0" fieldPosition="0">
        <references count="2">
          <reference field="4294967294" count="1" selected="0">
            <x v="0"/>
          </reference>
          <reference field="2" count="1" selected="0">
            <x v="2"/>
          </reference>
        </references>
      </pivotArea>
    </chartFormat>
    <chartFormat chart="5" format="75" series="1">
      <pivotArea type="data" outline="0" fieldPosition="0">
        <references count="2">
          <reference field="4294967294" count="1" selected="0">
            <x v="0"/>
          </reference>
          <reference field="2" count="1" selected="0">
            <x v="3"/>
          </reference>
        </references>
      </pivotArea>
    </chartFormat>
    <chartFormat chart="5" format="76" series="1">
      <pivotArea type="data" outline="0" fieldPosition="0">
        <references count="2">
          <reference field="4294967294" count="1" selected="0">
            <x v="0"/>
          </reference>
          <reference field="2" count="1" selected="0">
            <x v="4"/>
          </reference>
        </references>
      </pivotArea>
    </chartFormat>
    <chartFormat chart="5" format="77" series="1">
      <pivotArea type="data" outline="0" fieldPosition="0">
        <references count="2">
          <reference field="4294967294" count="1" selected="0">
            <x v="0"/>
          </reference>
          <reference field="2" count="1" selected="0">
            <x v="5"/>
          </reference>
        </references>
      </pivotArea>
    </chartFormat>
    <chartFormat chart="5" format="78" series="1">
      <pivotArea type="data" outline="0" fieldPosition="0">
        <references count="2">
          <reference field="4294967294" count="1" selected="0">
            <x v="0"/>
          </reference>
          <reference field="2" count="1" selected="0">
            <x v="6"/>
          </reference>
        </references>
      </pivotArea>
    </chartFormat>
    <chartFormat chart="5" format="79" series="1">
      <pivotArea type="data" outline="0" fieldPosition="0">
        <references count="2">
          <reference field="4294967294" count="1" selected="0">
            <x v="0"/>
          </reference>
          <reference field="2" count="1" selected="0">
            <x v="7"/>
          </reference>
        </references>
      </pivotArea>
    </chartFormat>
    <chartFormat chart="5" format="80" series="1">
      <pivotArea type="data" outline="0" fieldPosition="0">
        <references count="2">
          <reference field="4294967294" count="1" selected="0">
            <x v="0"/>
          </reference>
          <reference field="2" count="1" selected="0">
            <x v="8"/>
          </reference>
        </references>
      </pivotArea>
    </chartFormat>
    <chartFormat chart="5" format="81" series="1">
      <pivotArea type="data" outline="0" fieldPosition="0">
        <references count="2">
          <reference field="4294967294" count="1" selected="0">
            <x v="0"/>
          </reference>
          <reference field="2" count="1" selected="0">
            <x v="9"/>
          </reference>
        </references>
      </pivotArea>
    </chartFormat>
    <chartFormat chart="5" format="82" series="1">
      <pivotArea type="data" outline="0" fieldPosition="0">
        <references count="2">
          <reference field="4294967294" count="1" selected="0">
            <x v="0"/>
          </reference>
          <reference field="2" count="1" selected="0">
            <x v="10"/>
          </reference>
        </references>
      </pivotArea>
    </chartFormat>
    <chartFormat chart="5" format="83" series="1">
      <pivotArea type="data" outline="0" fieldPosition="0">
        <references count="2">
          <reference field="4294967294" count="1" selected="0">
            <x v="0"/>
          </reference>
          <reference field="2"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C8D4F8-3BE9-4BC0-BDB0-85E7DE266F46}"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3:B4" firstHeaderRow="1" firstDataRow="1" firstDataCol="1"/>
  <pivotFields count="22">
    <pivotField showAll="0"/>
    <pivotField numFmtId="14" showAll="0">
      <items count="343">
        <item x="278"/>
        <item x="33"/>
        <item x="285"/>
        <item x="45"/>
        <item x="0"/>
        <item x="178"/>
        <item x="19"/>
        <item x="79"/>
        <item x="135"/>
        <item x="90"/>
        <item x="155"/>
        <item x="141"/>
        <item x="308"/>
        <item x="281"/>
        <item x="86"/>
        <item x="217"/>
        <item x="36"/>
        <item x="212"/>
        <item x="144"/>
        <item x="286"/>
        <item x="283"/>
        <item x="195"/>
        <item x="80"/>
        <item x="244"/>
        <item x="245"/>
        <item x="111"/>
        <item x="14"/>
        <item x="49"/>
        <item x="30"/>
        <item x="237"/>
        <item x="152"/>
        <item x="154"/>
        <item x="3"/>
        <item x="224"/>
        <item x="20"/>
        <item x="203"/>
        <item x="297"/>
        <item x="163"/>
        <item x="307"/>
        <item x="293"/>
        <item x="139"/>
        <item x="220"/>
        <item x="193"/>
        <item x="317"/>
        <item x="37"/>
        <item x="265"/>
        <item x="64"/>
        <item x="205"/>
        <item x="300"/>
        <item x="87"/>
        <item x="8"/>
        <item x="190"/>
        <item x="48"/>
        <item x="213"/>
        <item x="82"/>
        <item x="233"/>
        <item x="251"/>
        <item x="171"/>
        <item x="216"/>
        <item x="71"/>
        <item x="50"/>
        <item x="67"/>
        <item x="84"/>
        <item x="127"/>
        <item x="242"/>
        <item x="191"/>
        <item x="194"/>
        <item x="222"/>
        <item x="257"/>
        <item x="254"/>
        <item x="16"/>
        <item x="117"/>
        <item x="161"/>
        <item x="44"/>
        <item x="128"/>
        <item x="207"/>
        <item x="18"/>
        <item x="142"/>
        <item x="124"/>
        <item x="267"/>
        <item x="326"/>
        <item x="316"/>
        <item x="170"/>
        <item x="330"/>
        <item x="327"/>
        <item x="329"/>
        <item x="68"/>
        <item x="145"/>
        <item x="167"/>
        <item x="284"/>
        <item x="99"/>
        <item x="91"/>
        <item x="234"/>
        <item x="57"/>
        <item x="65"/>
        <item x="313"/>
        <item x="160"/>
        <item x="56"/>
        <item x="105"/>
        <item x="186"/>
        <item x="165"/>
        <item x="315"/>
        <item x="2"/>
        <item x="150"/>
        <item x="228"/>
        <item x="211"/>
        <item x="258"/>
        <item x="162"/>
        <item x="287"/>
        <item x="169"/>
        <item x="241"/>
        <item x="158"/>
        <item x="208"/>
        <item x="108"/>
        <item x="236"/>
        <item x="24"/>
        <item x="43"/>
        <item x="226"/>
        <item x="131"/>
        <item x="199"/>
        <item x="10"/>
        <item x="100"/>
        <item x="206"/>
        <item x="109"/>
        <item x="253"/>
        <item x="263"/>
        <item x="198"/>
        <item x="46"/>
        <item x="334"/>
        <item x="230"/>
        <item x="204"/>
        <item x="47"/>
        <item x="305"/>
        <item x="118"/>
        <item x="133"/>
        <item x="189"/>
        <item x="11"/>
        <item x="103"/>
        <item x="184"/>
        <item x="75"/>
        <item x="74"/>
        <item x="26"/>
        <item x="248"/>
        <item x="119"/>
        <item x="98"/>
        <item x="140"/>
        <item x="12"/>
        <item x="259"/>
        <item x="147"/>
        <item x="324"/>
        <item x="4"/>
        <item x="175"/>
        <item x="209"/>
        <item x="277"/>
        <item x="21"/>
        <item x="110"/>
        <item x="229"/>
        <item x="341"/>
        <item x="41"/>
        <item x="177"/>
        <item x="288"/>
        <item x="138"/>
        <item x="1"/>
        <item x="321"/>
        <item x="113"/>
        <item x="116"/>
        <item x="114"/>
        <item x="221"/>
        <item x="223"/>
        <item x="260"/>
        <item x="77"/>
        <item x="323"/>
        <item x="232"/>
        <item x="231"/>
        <item x="102"/>
        <item x="306"/>
        <item x="168"/>
        <item x="32"/>
        <item x="270"/>
        <item x="106"/>
        <item x="266"/>
        <item x="73"/>
        <item x="7"/>
        <item x="202"/>
        <item x="264"/>
        <item x="172"/>
        <item x="93"/>
        <item x="60"/>
        <item x="156"/>
        <item x="29"/>
        <item x="35"/>
        <item x="72"/>
        <item x="240"/>
        <item x="256"/>
        <item x="337"/>
        <item x="70"/>
        <item x="129"/>
        <item x="322"/>
        <item x="120"/>
        <item x="38"/>
        <item x="247"/>
        <item x="78"/>
        <item x="115"/>
        <item x="290"/>
        <item x="328"/>
        <item x="123"/>
        <item x="318"/>
        <item x="61"/>
        <item x="66"/>
        <item x="134"/>
        <item x="333"/>
        <item x="31"/>
        <item x="17"/>
        <item x="149"/>
        <item x="62"/>
        <item x="81"/>
        <item x="275"/>
        <item x="282"/>
        <item x="69"/>
        <item x="53"/>
        <item x="183"/>
        <item x="5"/>
        <item x="215"/>
        <item x="95"/>
        <item x="25"/>
        <item x="192"/>
        <item x="85"/>
        <item x="63"/>
        <item x="126"/>
        <item x="96"/>
        <item x="112"/>
        <item x="122"/>
        <item x="201"/>
        <item x="311"/>
        <item x="196"/>
        <item x="23"/>
        <item x="294"/>
        <item x="274"/>
        <item x="173"/>
        <item x="121"/>
        <item x="246"/>
        <item x="89"/>
        <item x="261"/>
        <item x="339"/>
        <item x="166"/>
        <item x="187"/>
        <item x="40"/>
        <item x="227"/>
        <item x="298"/>
        <item x="310"/>
        <item x="302"/>
        <item x="104"/>
        <item x="59"/>
        <item x="22"/>
        <item x="182"/>
        <item x="185"/>
        <item x="58"/>
        <item x="296"/>
        <item x="239"/>
        <item x="164"/>
        <item x="272"/>
        <item x="42"/>
        <item x="235"/>
        <item x="292"/>
        <item x="218"/>
        <item x="27"/>
        <item x="52"/>
        <item x="136"/>
        <item x="279"/>
        <item x="312"/>
        <item x="83"/>
        <item x="214"/>
        <item x="320"/>
        <item x="51"/>
        <item x="262"/>
        <item x="276"/>
        <item x="340"/>
        <item x="304"/>
        <item x="335"/>
        <item x="39"/>
        <item x="107"/>
        <item x="225"/>
        <item x="338"/>
        <item x="97"/>
        <item x="137"/>
        <item x="238"/>
        <item x="34"/>
        <item x="174"/>
        <item x="125"/>
        <item x="303"/>
        <item x="314"/>
        <item x="92"/>
        <item x="159"/>
        <item x="200"/>
        <item x="6"/>
        <item x="319"/>
        <item x="336"/>
        <item x="188"/>
        <item x="151"/>
        <item x="301"/>
        <item x="252"/>
        <item x="101"/>
        <item x="280"/>
        <item x="176"/>
        <item x="15"/>
        <item x="269"/>
        <item x="291"/>
        <item x="55"/>
        <item x="179"/>
        <item x="295"/>
        <item x="143"/>
        <item x="153"/>
        <item x="132"/>
        <item x="130"/>
        <item x="157"/>
        <item x="271"/>
        <item x="219"/>
        <item x="273"/>
        <item x="88"/>
        <item x="249"/>
        <item x="28"/>
        <item x="197"/>
        <item x="76"/>
        <item x="325"/>
        <item x="9"/>
        <item x="243"/>
        <item x="94"/>
        <item x="13"/>
        <item x="255"/>
        <item x="309"/>
        <item x="180"/>
        <item x="289"/>
        <item x="146"/>
        <item x="181"/>
        <item x="148"/>
        <item x="250"/>
        <item x="331"/>
        <item x="268"/>
        <item x="210"/>
        <item x="332"/>
        <item x="299"/>
        <item x="54"/>
        <item t="default"/>
      </items>
    </pivotField>
    <pivotField axis="axisRow" showAll="0">
      <items count="13">
        <item x="0"/>
        <item h="1" x="3"/>
        <item h="1" x="9"/>
        <item h="1" x="2"/>
        <item h="1" x="8"/>
        <item h="1" x="1"/>
        <item h="1" x="6"/>
        <item h="1" x="4"/>
        <item h="1" x="10"/>
        <item h="1" x="11"/>
        <item h="1" x="5"/>
        <item h="1" x="7"/>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1">
    <i>
      <x/>
    </i>
  </rowItems>
  <colItems count="1">
    <i/>
  </colItems>
  <dataFields count="1">
    <dataField name="Count of Customer ID" fld="3" subtotal="count" baseField="0" baseItem="0"/>
  </dataFields>
  <chartFormats count="1">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563807D-7CE3-4BCD-AEC5-5799D2603347}"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B6" firstHeaderRow="1" firstDataRow="2" firstDataCol="1"/>
  <pivotFields count="22">
    <pivotField showAll="0"/>
    <pivotField numFmtId="14" showAll="0">
      <items count="343">
        <item x="278"/>
        <item x="33"/>
        <item x="285"/>
        <item x="45"/>
        <item x="0"/>
        <item x="178"/>
        <item x="19"/>
        <item x="79"/>
        <item x="135"/>
        <item x="90"/>
        <item x="155"/>
        <item x="141"/>
        <item x="308"/>
        <item x="281"/>
        <item x="86"/>
        <item x="217"/>
        <item x="36"/>
        <item x="212"/>
        <item x="144"/>
        <item x="286"/>
        <item x="283"/>
        <item x="195"/>
        <item x="80"/>
        <item x="244"/>
        <item x="245"/>
        <item x="111"/>
        <item x="14"/>
        <item x="49"/>
        <item x="30"/>
        <item x="237"/>
        <item x="152"/>
        <item x="154"/>
        <item x="3"/>
        <item x="224"/>
        <item x="20"/>
        <item x="203"/>
        <item x="297"/>
        <item x="163"/>
        <item x="307"/>
        <item x="293"/>
        <item x="139"/>
        <item x="220"/>
        <item x="193"/>
        <item x="317"/>
        <item x="37"/>
        <item x="265"/>
        <item x="64"/>
        <item x="205"/>
        <item x="300"/>
        <item x="87"/>
        <item x="8"/>
        <item x="190"/>
        <item x="48"/>
        <item x="213"/>
        <item x="82"/>
        <item x="233"/>
        <item x="251"/>
        <item x="171"/>
        <item x="216"/>
        <item x="71"/>
        <item x="50"/>
        <item x="67"/>
        <item x="84"/>
        <item x="127"/>
        <item x="242"/>
        <item x="191"/>
        <item x="194"/>
        <item x="222"/>
        <item x="257"/>
        <item x="254"/>
        <item x="16"/>
        <item x="117"/>
        <item x="161"/>
        <item x="44"/>
        <item x="128"/>
        <item x="207"/>
        <item x="18"/>
        <item x="142"/>
        <item x="124"/>
        <item x="267"/>
        <item x="326"/>
        <item x="316"/>
        <item x="170"/>
        <item x="330"/>
        <item x="327"/>
        <item x="329"/>
        <item x="68"/>
        <item x="145"/>
        <item x="167"/>
        <item x="284"/>
        <item x="99"/>
        <item x="91"/>
        <item x="234"/>
        <item x="57"/>
        <item x="65"/>
        <item x="313"/>
        <item x="160"/>
        <item x="56"/>
        <item x="105"/>
        <item x="186"/>
        <item x="165"/>
        <item x="315"/>
        <item x="2"/>
        <item x="150"/>
        <item x="228"/>
        <item x="211"/>
        <item x="258"/>
        <item x="162"/>
        <item x="287"/>
        <item x="169"/>
        <item x="241"/>
        <item x="158"/>
        <item x="208"/>
        <item x="108"/>
        <item x="236"/>
        <item x="24"/>
        <item x="43"/>
        <item x="226"/>
        <item x="131"/>
        <item x="199"/>
        <item x="10"/>
        <item x="100"/>
        <item x="206"/>
        <item x="109"/>
        <item x="253"/>
        <item x="263"/>
        <item x="198"/>
        <item x="46"/>
        <item x="334"/>
        <item x="230"/>
        <item x="204"/>
        <item x="47"/>
        <item x="305"/>
        <item x="118"/>
        <item x="133"/>
        <item x="189"/>
        <item x="11"/>
        <item x="103"/>
        <item x="184"/>
        <item x="75"/>
        <item x="74"/>
        <item x="26"/>
        <item x="248"/>
        <item x="119"/>
        <item x="98"/>
        <item x="140"/>
        <item x="12"/>
        <item x="259"/>
        <item x="147"/>
        <item x="324"/>
        <item x="4"/>
        <item x="175"/>
        <item x="209"/>
        <item x="277"/>
        <item x="21"/>
        <item x="110"/>
        <item x="229"/>
        <item x="341"/>
        <item x="41"/>
        <item x="177"/>
        <item x="288"/>
        <item x="138"/>
        <item x="1"/>
        <item x="321"/>
        <item x="113"/>
        <item x="116"/>
        <item x="114"/>
        <item x="221"/>
        <item x="223"/>
        <item x="260"/>
        <item x="77"/>
        <item x="323"/>
        <item x="232"/>
        <item x="231"/>
        <item x="102"/>
        <item x="306"/>
        <item x="168"/>
        <item x="32"/>
        <item x="270"/>
        <item x="106"/>
        <item x="266"/>
        <item x="73"/>
        <item x="7"/>
        <item x="202"/>
        <item x="264"/>
        <item x="172"/>
        <item x="93"/>
        <item x="60"/>
        <item x="156"/>
        <item x="29"/>
        <item x="35"/>
        <item x="72"/>
        <item x="240"/>
        <item x="256"/>
        <item x="337"/>
        <item x="70"/>
        <item x="129"/>
        <item x="322"/>
        <item x="120"/>
        <item x="38"/>
        <item x="247"/>
        <item x="78"/>
        <item x="115"/>
        <item x="290"/>
        <item x="328"/>
        <item x="123"/>
        <item x="318"/>
        <item x="61"/>
        <item x="66"/>
        <item x="134"/>
        <item x="333"/>
        <item x="31"/>
        <item x="17"/>
        <item x="149"/>
        <item x="62"/>
        <item x="81"/>
        <item x="275"/>
        <item x="282"/>
        <item x="69"/>
        <item x="53"/>
        <item x="183"/>
        <item x="5"/>
        <item x="215"/>
        <item x="95"/>
        <item x="25"/>
        <item x="192"/>
        <item x="85"/>
        <item x="63"/>
        <item x="126"/>
        <item x="96"/>
        <item x="112"/>
        <item x="122"/>
        <item x="201"/>
        <item x="311"/>
        <item x="196"/>
        <item x="23"/>
        <item x="294"/>
        <item x="274"/>
        <item x="173"/>
        <item x="121"/>
        <item x="246"/>
        <item x="89"/>
        <item x="261"/>
        <item x="339"/>
        <item x="166"/>
        <item x="187"/>
        <item x="40"/>
        <item x="227"/>
        <item x="298"/>
        <item x="310"/>
        <item x="302"/>
        <item x="104"/>
        <item x="59"/>
        <item x="22"/>
        <item x="182"/>
        <item x="185"/>
        <item x="58"/>
        <item x="296"/>
        <item x="239"/>
        <item x="164"/>
        <item x="272"/>
        <item x="42"/>
        <item x="235"/>
        <item x="292"/>
        <item x="218"/>
        <item x="27"/>
        <item x="52"/>
        <item x="136"/>
        <item x="279"/>
        <item x="312"/>
        <item x="83"/>
        <item x="214"/>
        <item x="320"/>
        <item x="51"/>
        <item x="262"/>
        <item x="276"/>
        <item x="340"/>
        <item x="304"/>
        <item x="335"/>
        <item x="39"/>
        <item x="107"/>
        <item x="225"/>
        <item x="338"/>
        <item x="97"/>
        <item x="137"/>
        <item x="238"/>
        <item x="34"/>
        <item x="174"/>
        <item x="125"/>
        <item x="303"/>
        <item x="314"/>
        <item x="92"/>
        <item x="159"/>
        <item x="200"/>
        <item x="6"/>
        <item x="319"/>
        <item x="336"/>
        <item x="188"/>
        <item x="151"/>
        <item x="301"/>
        <item x="252"/>
        <item x="101"/>
        <item x="280"/>
        <item x="176"/>
        <item x="15"/>
        <item x="269"/>
        <item x="291"/>
        <item x="55"/>
        <item x="179"/>
        <item x="295"/>
        <item x="143"/>
        <item x="153"/>
        <item x="132"/>
        <item x="130"/>
        <item x="157"/>
        <item x="271"/>
        <item x="219"/>
        <item x="273"/>
        <item x="88"/>
        <item x="249"/>
        <item x="28"/>
        <item x="197"/>
        <item x="76"/>
        <item x="325"/>
        <item x="9"/>
        <item x="243"/>
        <item x="94"/>
        <item x="13"/>
        <item x="255"/>
        <item x="309"/>
        <item x="180"/>
        <item x="289"/>
        <item x="146"/>
        <item x="181"/>
        <item x="148"/>
        <item x="250"/>
        <item x="331"/>
        <item x="268"/>
        <item x="210"/>
        <item x="332"/>
        <item x="299"/>
        <item x="54"/>
        <item t="default"/>
      </items>
    </pivotField>
    <pivotField axis="axisCol" showAll="0">
      <items count="13">
        <item x="0"/>
        <item h="1" x="3"/>
        <item h="1" x="9"/>
        <item h="1" x="2"/>
        <item h="1" x="8"/>
        <item h="1" x="1"/>
        <item h="1" x="6"/>
        <item h="1" x="4"/>
        <item h="1" x="10"/>
        <item h="1" x="11"/>
        <item h="1" x="5"/>
        <item h="1" x="7"/>
        <item t="default"/>
      </items>
    </pivotField>
    <pivotField showAll="0"/>
    <pivotField showAll="0"/>
    <pivotField showAll="0"/>
    <pivotField showAll="0"/>
    <pivotField showAll="0"/>
    <pivotField showAll="0"/>
    <pivotField showAll="0"/>
    <pivotField showAll="0"/>
    <pivotField showAll="0"/>
    <pivotField showAll="0"/>
    <pivotField showAll="0">
      <items count="495">
        <item x="242"/>
        <item x="49"/>
        <item x="468"/>
        <item x="282"/>
        <item x="411"/>
        <item x="2"/>
        <item x="316"/>
        <item x="328"/>
        <item x="221"/>
        <item x="206"/>
        <item x="312"/>
        <item x="10"/>
        <item x="77"/>
        <item x="32"/>
        <item x="142"/>
        <item x="102"/>
        <item x="471"/>
        <item x="463"/>
        <item x="443"/>
        <item x="418"/>
        <item x="118"/>
        <item x="90"/>
        <item x="113"/>
        <item x="293"/>
        <item x="424"/>
        <item x="36"/>
        <item x="352"/>
        <item x="125"/>
        <item x="61"/>
        <item x="59"/>
        <item x="189"/>
        <item x="239"/>
        <item x="393"/>
        <item x="441"/>
        <item x="108"/>
        <item x="390"/>
        <item x="301"/>
        <item x="345"/>
        <item x="476"/>
        <item x="455"/>
        <item x="327"/>
        <item x="188"/>
        <item x="116"/>
        <item x="29"/>
        <item x="444"/>
        <item x="373"/>
        <item x="181"/>
        <item x="103"/>
        <item x="265"/>
        <item x="456"/>
        <item x="491"/>
        <item x="215"/>
        <item x="423"/>
        <item x="243"/>
        <item x="414"/>
        <item x="481"/>
        <item x="493"/>
        <item x="172"/>
        <item x="28"/>
        <item x="174"/>
        <item x="58"/>
        <item x="139"/>
        <item x="67"/>
        <item x="413"/>
        <item x="269"/>
        <item x="85"/>
        <item x="454"/>
        <item x="126"/>
        <item x="130"/>
        <item x="309"/>
        <item x="73"/>
        <item x="379"/>
        <item x="163"/>
        <item x="166"/>
        <item x="44"/>
        <item x="399"/>
        <item x="86"/>
        <item x="435"/>
        <item x="337"/>
        <item x="409"/>
        <item x="197"/>
        <item x="349"/>
        <item x="100"/>
        <item x="42"/>
        <item x="228"/>
        <item x="304"/>
        <item x="16"/>
        <item x="222"/>
        <item x="273"/>
        <item x="429"/>
        <item x="397"/>
        <item x="76"/>
        <item x="315"/>
        <item x="252"/>
        <item x="438"/>
        <item x="446"/>
        <item x="449"/>
        <item x="60"/>
        <item x="433"/>
        <item x="475"/>
        <item x="420"/>
        <item x="68"/>
        <item x="82"/>
        <item x="366"/>
        <item x="74"/>
        <item x="465"/>
        <item x="244"/>
        <item x="179"/>
        <item x="336"/>
        <item x="287"/>
        <item x="445"/>
        <item x="223"/>
        <item x="267"/>
        <item x="395"/>
        <item x="177"/>
        <item x="348"/>
        <item x="347"/>
        <item x="338"/>
        <item x="339"/>
        <item x="70"/>
        <item x="374"/>
        <item x="276"/>
        <item x="53"/>
        <item x="281"/>
        <item x="229"/>
        <item x="303"/>
        <item x="218"/>
        <item x="342"/>
        <item x="227"/>
        <item x="64"/>
        <item x="159"/>
        <item x="356"/>
        <item x="167"/>
        <item x="72"/>
        <item x="248"/>
        <item x="299"/>
        <item x="238"/>
        <item x="428"/>
        <item x="410"/>
        <item x="436"/>
        <item x="62"/>
        <item x="275"/>
        <item x="297"/>
        <item x="398"/>
        <item x="469"/>
        <item x="474"/>
        <item x="368"/>
        <item x="453"/>
        <item x="4"/>
        <item x="134"/>
        <item x="400"/>
        <item x="117"/>
        <item x="33"/>
        <item x="9"/>
        <item x="426"/>
        <item x="488"/>
        <item x="210"/>
        <item x="452"/>
        <item x="359"/>
        <item x="477"/>
        <item x="341"/>
        <item x="173"/>
        <item x="148"/>
        <item x="128"/>
        <item x="194"/>
        <item x="93"/>
        <item x="470"/>
        <item x="40"/>
        <item x="360"/>
        <item x="295"/>
        <item x="127"/>
        <item x="432"/>
        <item x="37"/>
        <item x="381"/>
        <item x="378"/>
        <item x="383"/>
        <item x="84"/>
        <item x="271"/>
        <item x="408"/>
        <item x="319"/>
        <item x="216"/>
        <item x="193"/>
        <item x="289"/>
        <item x="364"/>
        <item x="461"/>
        <item x="20"/>
        <item x="217"/>
        <item x="39"/>
        <item x="233"/>
        <item x="310"/>
        <item x="136"/>
        <item x="487"/>
        <item x="350"/>
        <item x="291"/>
        <item x="387"/>
        <item x="261"/>
        <item x="308"/>
        <item x="209"/>
        <item x="92"/>
        <item x="355"/>
        <item x="99"/>
        <item x="334"/>
        <item x="401"/>
        <item x="376"/>
        <item x="24"/>
        <item x="236"/>
        <item x="286"/>
        <item x="280"/>
        <item x="87"/>
        <item x="131"/>
        <item x="17"/>
        <item x="98"/>
        <item x="485"/>
        <item x="8"/>
        <item x="110"/>
        <item x="372"/>
        <item x="169"/>
        <item x="52"/>
        <item x="363"/>
        <item x="226"/>
        <item x="46"/>
        <item x="486"/>
        <item x="464"/>
        <item x="123"/>
        <item x="34"/>
        <item x="489"/>
        <item x="97"/>
        <item x="211"/>
        <item x="65"/>
        <item x="325"/>
        <item x="416"/>
        <item x="448"/>
        <item x="473"/>
        <item x="50"/>
        <item x="394"/>
        <item x="63"/>
        <item x="357"/>
        <item x="208"/>
        <item x="78"/>
        <item x="324"/>
        <item x="340"/>
        <item x="332"/>
        <item x="138"/>
        <item x="114"/>
        <item x="257"/>
        <item x="290"/>
        <item x="143"/>
        <item x="135"/>
        <item x="38"/>
        <item x="306"/>
        <item x="214"/>
        <item x="203"/>
        <item x="47"/>
        <item x="375"/>
        <item x="266"/>
        <item x="205"/>
        <item x="419"/>
        <item x="25"/>
        <item x="298"/>
        <item x="196"/>
        <item x="195"/>
        <item x="5"/>
        <item x="200"/>
        <item x="358"/>
        <item x="104"/>
        <item x="107"/>
        <item x="120"/>
        <item x="459"/>
        <item x="318"/>
        <item x="404"/>
        <item x="467"/>
        <item x="442"/>
        <item x="124"/>
        <item x="343"/>
        <item x="346"/>
        <item x="198"/>
        <item x="490"/>
        <item x="57"/>
        <item x="158"/>
        <item x="255"/>
        <item x="153"/>
        <item x="237"/>
        <item x="371"/>
        <item x="152"/>
        <item x="330"/>
        <item x="213"/>
        <item x="81"/>
        <item x="279"/>
        <item x="83"/>
        <item x="91"/>
        <item x="41"/>
        <item x="30"/>
        <item x="335"/>
        <item x="176"/>
        <item x="246"/>
        <item x="462"/>
        <item x="105"/>
        <item x="385"/>
        <item x="377"/>
        <item x="296"/>
        <item x="351"/>
        <item x="479"/>
        <item x="313"/>
        <item x="109"/>
        <item x="415"/>
        <item x="12"/>
        <item x="425"/>
        <item x="322"/>
        <item x="370"/>
        <item x="202"/>
        <item x="94"/>
        <item x="224"/>
        <item x="35"/>
        <item x="450"/>
        <item x="71"/>
        <item x="472"/>
        <item x="55"/>
        <item x="320"/>
        <item x="15"/>
        <item x="270"/>
        <item x="162"/>
        <item x="48"/>
        <item x="151"/>
        <item x="157"/>
        <item x="232"/>
        <item x="27"/>
        <item x="219"/>
        <item x="145"/>
        <item x="440"/>
        <item x="367"/>
        <item x="253"/>
        <item x="422"/>
        <item x="386"/>
        <item x="314"/>
        <item x="165"/>
        <item x="361"/>
        <item x="191"/>
        <item x="79"/>
        <item x="3"/>
        <item x="54"/>
        <item x="144"/>
        <item x="241"/>
        <item x="31"/>
        <item x="430"/>
        <item x="323"/>
        <item x="14"/>
        <item x="121"/>
        <item x="187"/>
        <item x="168"/>
        <item x="434"/>
        <item x="256"/>
        <item x="262"/>
        <item x="149"/>
        <item x="460"/>
        <item x="18"/>
        <item x="321"/>
        <item x="365"/>
        <item x="155"/>
        <item x="156"/>
        <item x="391"/>
        <item x="292"/>
        <item x="13"/>
        <item x="80"/>
        <item x="417"/>
        <item x="277"/>
        <item x="66"/>
        <item x="225"/>
        <item x="412"/>
        <item x="466"/>
        <item x="75"/>
        <item x="382"/>
        <item x="170"/>
        <item x="326"/>
        <item x="353"/>
        <item x="278"/>
        <item x="258"/>
        <item x="133"/>
        <item x="178"/>
        <item x="21"/>
        <item x="22"/>
        <item x="254"/>
        <item x="132"/>
        <item x="161"/>
        <item x="260"/>
        <item x="437"/>
        <item x="185"/>
        <item x="249"/>
        <item x="439"/>
        <item x="235"/>
        <item x="180"/>
        <item x="250"/>
        <item x="51"/>
        <item x="480"/>
        <item x="406"/>
        <item x="115"/>
        <item x="182"/>
        <item x="19"/>
        <item x="407"/>
        <item x="212"/>
        <item x="288"/>
        <item x="6"/>
        <item x="119"/>
        <item x="384"/>
        <item x="1"/>
        <item x="431"/>
        <item x="388"/>
        <item x="396"/>
        <item x="137"/>
        <item x="207"/>
        <item x="421"/>
        <item x="380"/>
        <item x="129"/>
        <item x="447"/>
        <item x="263"/>
        <item x="160"/>
        <item x="302"/>
        <item x="88"/>
        <item x="150"/>
        <item x="7"/>
        <item x="392"/>
        <item x="26"/>
        <item x="333"/>
        <item x="482"/>
        <item x="95"/>
        <item x="220"/>
        <item x="268"/>
        <item x="231"/>
        <item x="300"/>
        <item x="45"/>
        <item x="478"/>
        <item x="171"/>
        <item x="199"/>
        <item x="43"/>
        <item x="141"/>
        <item x="285"/>
        <item x="245"/>
        <item x="175"/>
        <item x="317"/>
        <item x="0"/>
        <item x="164"/>
        <item x="190"/>
        <item x="234"/>
        <item x="69"/>
        <item x="305"/>
        <item x="111"/>
        <item x="331"/>
        <item x="96"/>
        <item x="272"/>
        <item x="112"/>
        <item x="362"/>
        <item x="140"/>
        <item x="283"/>
        <item x="11"/>
        <item x="405"/>
        <item x="192"/>
        <item x="451"/>
        <item x="56"/>
        <item x="201"/>
        <item x="311"/>
        <item x="101"/>
        <item x="458"/>
        <item x="240"/>
        <item x="284"/>
        <item x="122"/>
        <item x="204"/>
        <item x="154"/>
        <item x="402"/>
        <item x="483"/>
        <item x="369"/>
        <item x="264"/>
        <item x="274"/>
        <item x="23"/>
        <item x="389"/>
        <item x="89"/>
        <item x="147"/>
        <item x="457"/>
        <item x="427"/>
        <item x="344"/>
        <item x="259"/>
        <item x="251"/>
        <item x="354"/>
        <item x="403"/>
        <item x="183"/>
        <item x="329"/>
        <item x="184"/>
        <item x="492"/>
        <item x="307"/>
        <item x="247"/>
        <item x="106"/>
        <item x="146"/>
        <item x="294"/>
        <item x="484"/>
        <item x="230"/>
        <item x="186"/>
        <item t="default"/>
      </items>
    </pivotField>
    <pivotField showAll="0"/>
    <pivotField showAll="0"/>
    <pivotField showAll="0"/>
    <pivotField axis="axisRow" dataField="1" showAll="0">
      <items count="3">
        <item x="1"/>
        <item x="0"/>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7"/>
  </rowFields>
  <rowItems count="2">
    <i>
      <x/>
    </i>
    <i>
      <x v="1"/>
    </i>
  </rowItems>
  <colFields count="1">
    <field x="2"/>
  </colFields>
  <colItems count="1">
    <i>
      <x/>
    </i>
  </colItems>
  <dataFields count="1">
    <dataField name="Count of Account Status" fld="17" subtotal="count" baseField="0" baseItem="0"/>
  </dataFields>
  <chartFormats count="5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0" format="7" series="1">
      <pivotArea type="data" outline="0" fieldPosition="0">
        <references count="2">
          <reference field="4294967294" count="1" selected="0">
            <x v="0"/>
          </reference>
          <reference field="2" count="1" selected="0">
            <x v="7"/>
          </reference>
        </references>
      </pivotArea>
    </chartFormat>
    <chartFormat chart="0" format="8" series="1">
      <pivotArea type="data" outline="0" fieldPosition="0">
        <references count="2">
          <reference field="4294967294" count="1" selected="0">
            <x v="0"/>
          </reference>
          <reference field="2" count="1" selected="0">
            <x v="8"/>
          </reference>
        </references>
      </pivotArea>
    </chartFormat>
    <chartFormat chart="0" format="9" series="1">
      <pivotArea type="data" outline="0" fieldPosition="0">
        <references count="2">
          <reference field="4294967294" count="1" selected="0">
            <x v="0"/>
          </reference>
          <reference field="2" count="1" selected="0">
            <x v="9"/>
          </reference>
        </references>
      </pivotArea>
    </chartFormat>
    <chartFormat chart="0" format="10" series="1">
      <pivotArea type="data" outline="0" fieldPosition="0">
        <references count="2">
          <reference field="4294967294" count="1" selected="0">
            <x v="0"/>
          </reference>
          <reference field="2" count="1" selected="0">
            <x v="10"/>
          </reference>
        </references>
      </pivotArea>
    </chartFormat>
    <chartFormat chart="0" format="11" series="1">
      <pivotArea type="data" outline="0" fieldPosition="0">
        <references count="2">
          <reference field="4294967294" count="1" selected="0">
            <x v="0"/>
          </reference>
          <reference field="2" count="1" selected="0">
            <x v="11"/>
          </reference>
        </references>
      </pivotArea>
    </chartFormat>
    <chartFormat chart="2" format="48" series="1">
      <pivotArea type="data" outline="0" fieldPosition="0">
        <references count="2">
          <reference field="4294967294" count="1" selected="0">
            <x v="0"/>
          </reference>
          <reference field="2" count="1" selected="0">
            <x v="0"/>
          </reference>
        </references>
      </pivotArea>
    </chartFormat>
    <chartFormat chart="2" format="49">
      <pivotArea type="data" outline="0" fieldPosition="0">
        <references count="3">
          <reference field="4294967294" count="1" selected="0">
            <x v="0"/>
          </reference>
          <reference field="2" count="1" selected="0">
            <x v="0"/>
          </reference>
          <reference field="17" count="1" selected="0">
            <x v="0"/>
          </reference>
        </references>
      </pivotArea>
    </chartFormat>
    <chartFormat chart="2" format="50">
      <pivotArea type="data" outline="0" fieldPosition="0">
        <references count="3">
          <reference field="4294967294" count="1" selected="0">
            <x v="0"/>
          </reference>
          <reference field="2" count="1" selected="0">
            <x v="0"/>
          </reference>
          <reference field="17" count="1" selected="0">
            <x v="1"/>
          </reference>
        </references>
      </pivotArea>
    </chartFormat>
    <chartFormat chart="2" format="51" series="1">
      <pivotArea type="data" outline="0" fieldPosition="0">
        <references count="2">
          <reference field="4294967294" count="1" selected="0">
            <x v="0"/>
          </reference>
          <reference field="2" count="1" selected="0">
            <x v="1"/>
          </reference>
        </references>
      </pivotArea>
    </chartFormat>
    <chartFormat chart="2" format="52">
      <pivotArea type="data" outline="0" fieldPosition="0">
        <references count="3">
          <reference field="4294967294" count="1" selected="0">
            <x v="0"/>
          </reference>
          <reference field="2" count="1" selected="0">
            <x v="1"/>
          </reference>
          <reference field="17" count="1" selected="0">
            <x v="0"/>
          </reference>
        </references>
      </pivotArea>
    </chartFormat>
    <chartFormat chart="2" format="53">
      <pivotArea type="data" outline="0" fieldPosition="0">
        <references count="3">
          <reference field="4294967294" count="1" selected="0">
            <x v="0"/>
          </reference>
          <reference field="2" count="1" selected="0">
            <x v="1"/>
          </reference>
          <reference field="17" count="1" selected="0">
            <x v="1"/>
          </reference>
        </references>
      </pivotArea>
    </chartFormat>
    <chartFormat chart="2" format="54" series="1">
      <pivotArea type="data" outline="0" fieldPosition="0">
        <references count="2">
          <reference field="4294967294" count="1" selected="0">
            <x v="0"/>
          </reference>
          <reference field="2" count="1" selected="0">
            <x v="2"/>
          </reference>
        </references>
      </pivotArea>
    </chartFormat>
    <chartFormat chart="2" format="55">
      <pivotArea type="data" outline="0" fieldPosition="0">
        <references count="3">
          <reference field="4294967294" count="1" selected="0">
            <x v="0"/>
          </reference>
          <reference field="2" count="1" selected="0">
            <x v="2"/>
          </reference>
          <reference field="17" count="1" selected="0">
            <x v="0"/>
          </reference>
        </references>
      </pivotArea>
    </chartFormat>
    <chartFormat chart="2" format="56">
      <pivotArea type="data" outline="0" fieldPosition="0">
        <references count="3">
          <reference field="4294967294" count="1" selected="0">
            <x v="0"/>
          </reference>
          <reference field="2" count="1" selected="0">
            <x v="2"/>
          </reference>
          <reference field="17" count="1" selected="0">
            <x v="1"/>
          </reference>
        </references>
      </pivotArea>
    </chartFormat>
    <chartFormat chart="2" format="57" series="1">
      <pivotArea type="data" outline="0" fieldPosition="0">
        <references count="2">
          <reference field="4294967294" count="1" selected="0">
            <x v="0"/>
          </reference>
          <reference field="2" count="1" selected="0">
            <x v="3"/>
          </reference>
        </references>
      </pivotArea>
    </chartFormat>
    <chartFormat chart="2" format="58">
      <pivotArea type="data" outline="0" fieldPosition="0">
        <references count="3">
          <reference field="4294967294" count="1" selected="0">
            <x v="0"/>
          </reference>
          <reference field="2" count="1" selected="0">
            <x v="3"/>
          </reference>
          <reference field="17" count="1" selected="0">
            <x v="0"/>
          </reference>
        </references>
      </pivotArea>
    </chartFormat>
    <chartFormat chart="2" format="59">
      <pivotArea type="data" outline="0" fieldPosition="0">
        <references count="3">
          <reference field="4294967294" count="1" selected="0">
            <x v="0"/>
          </reference>
          <reference field="2" count="1" selected="0">
            <x v="3"/>
          </reference>
          <reference field="17" count="1" selected="0">
            <x v="1"/>
          </reference>
        </references>
      </pivotArea>
    </chartFormat>
    <chartFormat chart="2" format="60" series="1">
      <pivotArea type="data" outline="0" fieldPosition="0">
        <references count="2">
          <reference field="4294967294" count="1" selected="0">
            <x v="0"/>
          </reference>
          <reference field="2" count="1" selected="0">
            <x v="4"/>
          </reference>
        </references>
      </pivotArea>
    </chartFormat>
    <chartFormat chart="2" format="61">
      <pivotArea type="data" outline="0" fieldPosition="0">
        <references count="3">
          <reference field="4294967294" count="1" selected="0">
            <x v="0"/>
          </reference>
          <reference field="2" count="1" selected="0">
            <x v="4"/>
          </reference>
          <reference field="17" count="1" selected="0">
            <x v="0"/>
          </reference>
        </references>
      </pivotArea>
    </chartFormat>
    <chartFormat chart="2" format="62">
      <pivotArea type="data" outline="0" fieldPosition="0">
        <references count="3">
          <reference field="4294967294" count="1" selected="0">
            <x v="0"/>
          </reference>
          <reference field="2" count="1" selected="0">
            <x v="4"/>
          </reference>
          <reference field="17" count="1" selected="0">
            <x v="1"/>
          </reference>
        </references>
      </pivotArea>
    </chartFormat>
    <chartFormat chart="2" format="63" series="1">
      <pivotArea type="data" outline="0" fieldPosition="0">
        <references count="2">
          <reference field="4294967294" count="1" selected="0">
            <x v="0"/>
          </reference>
          <reference field="2" count="1" selected="0">
            <x v="5"/>
          </reference>
        </references>
      </pivotArea>
    </chartFormat>
    <chartFormat chart="2" format="64">
      <pivotArea type="data" outline="0" fieldPosition="0">
        <references count="3">
          <reference field="4294967294" count="1" selected="0">
            <x v="0"/>
          </reference>
          <reference field="2" count="1" selected="0">
            <x v="5"/>
          </reference>
          <reference field="17" count="1" selected="0">
            <x v="0"/>
          </reference>
        </references>
      </pivotArea>
    </chartFormat>
    <chartFormat chart="2" format="65">
      <pivotArea type="data" outline="0" fieldPosition="0">
        <references count="3">
          <reference field="4294967294" count="1" selected="0">
            <x v="0"/>
          </reference>
          <reference field="2" count="1" selected="0">
            <x v="5"/>
          </reference>
          <reference field="17" count="1" selected="0">
            <x v="1"/>
          </reference>
        </references>
      </pivotArea>
    </chartFormat>
    <chartFormat chart="2" format="66" series="1">
      <pivotArea type="data" outline="0" fieldPosition="0">
        <references count="2">
          <reference field="4294967294" count="1" selected="0">
            <x v="0"/>
          </reference>
          <reference field="2" count="1" selected="0">
            <x v="6"/>
          </reference>
        </references>
      </pivotArea>
    </chartFormat>
    <chartFormat chart="2" format="67">
      <pivotArea type="data" outline="0" fieldPosition="0">
        <references count="3">
          <reference field="4294967294" count="1" selected="0">
            <x v="0"/>
          </reference>
          <reference field="2" count="1" selected="0">
            <x v="6"/>
          </reference>
          <reference field="17" count="1" selected="0">
            <x v="0"/>
          </reference>
        </references>
      </pivotArea>
    </chartFormat>
    <chartFormat chart="2" format="68">
      <pivotArea type="data" outline="0" fieldPosition="0">
        <references count="3">
          <reference field="4294967294" count="1" selected="0">
            <x v="0"/>
          </reference>
          <reference field="2" count="1" selected="0">
            <x v="6"/>
          </reference>
          <reference field="17" count="1" selected="0">
            <x v="1"/>
          </reference>
        </references>
      </pivotArea>
    </chartFormat>
    <chartFormat chart="2" format="69" series="1">
      <pivotArea type="data" outline="0" fieldPosition="0">
        <references count="2">
          <reference field="4294967294" count="1" selected="0">
            <x v="0"/>
          </reference>
          <reference field="2" count="1" selected="0">
            <x v="7"/>
          </reference>
        </references>
      </pivotArea>
    </chartFormat>
    <chartFormat chart="2" format="70">
      <pivotArea type="data" outline="0" fieldPosition="0">
        <references count="3">
          <reference field="4294967294" count="1" selected="0">
            <x v="0"/>
          </reference>
          <reference field="2" count="1" selected="0">
            <x v="7"/>
          </reference>
          <reference field="17" count="1" selected="0">
            <x v="0"/>
          </reference>
        </references>
      </pivotArea>
    </chartFormat>
    <chartFormat chart="2" format="71">
      <pivotArea type="data" outline="0" fieldPosition="0">
        <references count="3">
          <reference field="4294967294" count="1" selected="0">
            <x v="0"/>
          </reference>
          <reference field="2" count="1" selected="0">
            <x v="7"/>
          </reference>
          <reference field="17" count="1" selected="0">
            <x v="1"/>
          </reference>
        </references>
      </pivotArea>
    </chartFormat>
    <chartFormat chart="2" format="72" series="1">
      <pivotArea type="data" outline="0" fieldPosition="0">
        <references count="2">
          <reference field="4294967294" count="1" selected="0">
            <x v="0"/>
          </reference>
          <reference field="2" count="1" selected="0">
            <x v="8"/>
          </reference>
        </references>
      </pivotArea>
    </chartFormat>
    <chartFormat chart="2" format="73">
      <pivotArea type="data" outline="0" fieldPosition="0">
        <references count="3">
          <reference field="4294967294" count="1" selected="0">
            <x v="0"/>
          </reference>
          <reference field="2" count="1" selected="0">
            <x v="8"/>
          </reference>
          <reference field="17" count="1" selected="0">
            <x v="0"/>
          </reference>
        </references>
      </pivotArea>
    </chartFormat>
    <chartFormat chart="2" format="74">
      <pivotArea type="data" outline="0" fieldPosition="0">
        <references count="3">
          <reference field="4294967294" count="1" selected="0">
            <x v="0"/>
          </reference>
          <reference field="2" count="1" selected="0">
            <x v="8"/>
          </reference>
          <reference field="17" count="1" selected="0">
            <x v="1"/>
          </reference>
        </references>
      </pivotArea>
    </chartFormat>
    <chartFormat chart="2" format="75" series="1">
      <pivotArea type="data" outline="0" fieldPosition="0">
        <references count="2">
          <reference field="4294967294" count="1" selected="0">
            <x v="0"/>
          </reference>
          <reference field="2" count="1" selected="0">
            <x v="9"/>
          </reference>
        </references>
      </pivotArea>
    </chartFormat>
    <chartFormat chart="2" format="76">
      <pivotArea type="data" outline="0" fieldPosition="0">
        <references count="3">
          <reference field="4294967294" count="1" selected="0">
            <x v="0"/>
          </reference>
          <reference field="2" count="1" selected="0">
            <x v="9"/>
          </reference>
          <reference field="17" count="1" selected="0">
            <x v="0"/>
          </reference>
        </references>
      </pivotArea>
    </chartFormat>
    <chartFormat chart="2" format="77">
      <pivotArea type="data" outline="0" fieldPosition="0">
        <references count="3">
          <reference field="4294967294" count="1" selected="0">
            <x v="0"/>
          </reference>
          <reference field="2" count="1" selected="0">
            <x v="9"/>
          </reference>
          <reference field="17" count="1" selected="0">
            <x v="1"/>
          </reference>
        </references>
      </pivotArea>
    </chartFormat>
    <chartFormat chart="2" format="78" series="1">
      <pivotArea type="data" outline="0" fieldPosition="0">
        <references count="2">
          <reference field="4294967294" count="1" selected="0">
            <x v="0"/>
          </reference>
          <reference field="2" count="1" selected="0">
            <x v="10"/>
          </reference>
        </references>
      </pivotArea>
    </chartFormat>
    <chartFormat chart="2" format="79">
      <pivotArea type="data" outline="0" fieldPosition="0">
        <references count="3">
          <reference field="4294967294" count="1" selected="0">
            <x v="0"/>
          </reference>
          <reference field="2" count="1" selected="0">
            <x v="10"/>
          </reference>
          <reference field="17" count="1" selected="0">
            <x v="0"/>
          </reference>
        </references>
      </pivotArea>
    </chartFormat>
    <chartFormat chart="2" format="80">
      <pivotArea type="data" outline="0" fieldPosition="0">
        <references count="3">
          <reference field="4294967294" count="1" selected="0">
            <x v="0"/>
          </reference>
          <reference field="2" count="1" selected="0">
            <x v="10"/>
          </reference>
          <reference field="17" count="1" selected="0">
            <x v="1"/>
          </reference>
        </references>
      </pivotArea>
    </chartFormat>
    <chartFormat chart="2" format="81" series="1">
      <pivotArea type="data" outline="0" fieldPosition="0">
        <references count="2">
          <reference field="4294967294" count="1" selected="0">
            <x v="0"/>
          </reference>
          <reference field="2" count="1" selected="0">
            <x v="11"/>
          </reference>
        </references>
      </pivotArea>
    </chartFormat>
    <chartFormat chart="2" format="82">
      <pivotArea type="data" outline="0" fieldPosition="0">
        <references count="3">
          <reference field="4294967294" count="1" selected="0">
            <x v="0"/>
          </reference>
          <reference field="2" count="1" selected="0">
            <x v="11"/>
          </reference>
          <reference field="17" count="1" selected="0">
            <x v="0"/>
          </reference>
        </references>
      </pivotArea>
    </chartFormat>
    <chartFormat chart="2" format="83">
      <pivotArea type="data" outline="0" fieldPosition="0">
        <references count="3">
          <reference field="4294967294" count="1" selected="0">
            <x v="0"/>
          </reference>
          <reference field="2" count="1" selected="0">
            <x v="11"/>
          </reference>
          <reference field="17" count="1" selected="0">
            <x v="1"/>
          </reference>
        </references>
      </pivotArea>
    </chartFormat>
    <chartFormat chart="2" format="84" series="1">
      <pivotArea type="data" outline="0" fieldPosition="0">
        <references count="1">
          <reference field="4294967294" count="1" selected="0">
            <x v="0"/>
          </reference>
        </references>
      </pivotArea>
    </chartFormat>
    <chartFormat chart="0" format="12" series="1">
      <pivotArea type="data" outline="0" fieldPosition="0">
        <references count="1">
          <reference field="4294967294" count="1" selected="0">
            <x v="0"/>
          </reference>
        </references>
      </pivotArea>
    </chartFormat>
    <chartFormat chart="2" format="85">
      <pivotArea type="data" outline="0" fieldPosition="0">
        <references count="2">
          <reference field="4294967294" count="1" selected="0">
            <x v="0"/>
          </reference>
          <reference field="17" count="1" selected="0">
            <x v="1"/>
          </reference>
        </references>
      </pivotArea>
    </chartFormat>
    <chartFormat chart="2" format="86">
      <pivotArea type="data" outline="0" fieldPosition="0">
        <references count="2">
          <reference field="4294967294" count="1" selected="0">
            <x v="0"/>
          </reference>
          <reference field="17" count="1" selected="0">
            <x v="0"/>
          </reference>
        </references>
      </pivotArea>
    </chartFormat>
    <chartFormat chart="0" format="13">
      <pivotArea type="data" outline="0" fieldPosition="0">
        <references count="2">
          <reference field="4294967294" count="1" selected="0">
            <x v="0"/>
          </reference>
          <reference field="17" count="1" selected="0">
            <x v="0"/>
          </reference>
        </references>
      </pivotArea>
    </chartFormat>
    <chartFormat chart="0" format="14">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0500F5E-CA86-4E75-BCC9-2980E572997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6" firstHeaderRow="1" firstDataRow="1" firstDataCol="1"/>
  <pivotFields count="22">
    <pivotField showAll="0"/>
    <pivotField dataField="1" numFmtId="14" showAll="0">
      <items count="343">
        <item x="278"/>
        <item x="33"/>
        <item x="285"/>
        <item x="45"/>
        <item x="0"/>
        <item x="178"/>
        <item x="19"/>
        <item x="79"/>
        <item x="135"/>
        <item x="90"/>
        <item x="155"/>
        <item x="141"/>
        <item x="308"/>
        <item x="281"/>
        <item x="86"/>
        <item x="217"/>
        <item x="36"/>
        <item x="212"/>
        <item x="144"/>
        <item x="286"/>
        <item x="283"/>
        <item x="195"/>
        <item x="80"/>
        <item x="244"/>
        <item x="245"/>
        <item x="111"/>
        <item x="14"/>
        <item x="49"/>
        <item x="30"/>
        <item x="237"/>
        <item x="152"/>
        <item x="154"/>
        <item x="3"/>
        <item x="224"/>
        <item x="20"/>
        <item x="203"/>
        <item x="297"/>
        <item x="163"/>
        <item x="307"/>
        <item x="293"/>
        <item x="139"/>
        <item x="220"/>
        <item x="193"/>
        <item x="317"/>
        <item x="37"/>
        <item x="265"/>
        <item x="64"/>
        <item x="205"/>
        <item x="300"/>
        <item x="87"/>
        <item x="8"/>
        <item x="190"/>
        <item x="48"/>
        <item x="213"/>
        <item x="82"/>
        <item x="233"/>
        <item x="251"/>
        <item x="171"/>
        <item x="216"/>
        <item x="71"/>
        <item x="50"/>
        <item x="67"/>
        <item x="84"/>
        <item x="127"/>
        <item x="242"/>
        <item x="191"/>
        <item x="194"/>
        <item x="222"/>
        <item x="257"/>
        <item x="254"/>
        <item x="16"/>
        <item x="117"/>
        <item x="161"/>
        <item x="44"/>
        <item x="128"/>
        <item x="207"/>
        <item x="18"/>
        <item x="142"/>
        <item x="124"/>
        <item x="267"/>
        <item x="326"/>
        <item x="316"/>
        <item x="170"/>
        <item x="330"/>
        <item x="327"/>
        <item x="329"/>
        <item x="68"/>
        <item x="145"/>
        <item x="167"/>
        <item x="284"/>
        <item x="99"/>
        <item x="91"/>
        <item x="234"/>
        <item x="57"/>
        <item x="65"/>
        <item x="313"/>
        <item x="160"/>
        <item x="56"/>
        <item x="105"/>
        <item x="186"/>
        <item x="165"/>
        <item x="315"/>
        <item x="2"/>
        <item x="150"/>
        <item x="228"/>
        <item x="211"/>
        <item x="258"/>
        <item x="162"/>
        <item x="287"/>
        <item x="169"/>
        <item x="241"/>
        <item x="158"/>
        <item x="208"/>
        <item x="108"/>
        <item x="236"/>
        <item x="24"/>
        <item x="43"/>
        <item x="226"/>
        <item x="131"/>
        <item x="199"/>
        <item x="10"/>
        <item x="100"/>
        <item x="206"/>
        <item x="109"/>
        <item x="253"/>
        <item x="263"/>
        <item x="198"/>
        <item x="46"/>
        <item x="334"/>
        <item x="230"/>
        <item x="204"/>
        <item x="47"/>
        <item x="305"/>
        <item x="118"/>
        <item x="133"/>
        <item x="189"/>
        <item x="11"/>
        <item x="103"/>
        <item x="184"/>
        <item x="75"/>
        <item x="74"/>
        <item x="26"/>
        <item x="248"/>
        <item x="119"/>
        <item x="98"/>
        <item x="140"/>
        <item x="12"/>
        <item x="259"/>
        <item x="147"/>
        <item x="324"/>
        <item x="4"/>
        <item x="175"/>
        <item x="209"/>
        <item x="277"/>
        <item x="21"/>
        <item x="110"/>
        <item x="229"/>
        <item x="341"/>
        <item x="41"/>
        <item x="177"/>
        <item x="288"/>
        <item x="138"/>
        <item x="1"/>
        <item x="321"/>
        <item x="113"/>
        <item x="116"/>
        <item x="114"/>
        <item x="221"/>
        <item x="223"/>
        <item x="260"/>
        <item x="77"/>
        <item x="323"/>
        <item x="232"/>
        <item x="231"/>
        <item x="102"/>
        <item x="306"/>
        <item x="168"/>
        <item x="32"/>
        <item x="270"/>
        <item x="106"/>
        <item x="266"/>
        <item x="73"/>
        <item x="7"/>
        <item x="202"/>
        <item x="264"/>
        <item x="172"/>
        <item x="93"/>
        <item x="60"/>
        <item x="156"/>
        <item x="29"/>
        <item x="35"/>
        <item x="72"/>
        <item x="240"/>
        <item x="256"/>
        <item x="337"/>
        <item x="70"/>
        <item x="129"/>
        <item x="322"/>
        <item x="120"/>
        <item x="38"/>
        <item x="247"/>
        <item x="78"/>
        <item x="115"/>
        <item x="290"/>
        <item x="328"/>
        <item x="123"/>
        <item x="318"/>
        <item x="61"/>
        <item x="66"/>
        <item x="134"/>
        <item x="333"/>
        <item x="31"/>
        <item x="17"/>
        <item x="149"/>
        <item x="62"/>
        <item x="81"/>
        <item x="275"/>
        <item x="282"/>
        <item x="69"/>
        <item x="53"/>
        <item x="183"/>
        <item x="5"/>
        <item x="215"/>
        <item x="95"/>
        <item x="25"/>
        <item x="192"/>
        <item x="85"/>
        <item x="63"/>
        <item x="126"/>
        <item x="96"/>
        <item x="112"/>
        <item x="122"/>
        <item x="201"/>
        <item x="311"/>
        <item x="196"/>
        <item x="23"/>
        <item x="294"/>
        <item x="274"/>
        <item x="173"/>
        <item x="121"/>
        <item x="246"/>
        <item x="89"/>
        <item x="261"/>
        <item x="339"/>
        <item x="166"/>
        <item x="187"/>
        <item x="40"/>
        <item x="227"/>
        <item x="298"/>
        <item x="310"/>
        <item x="302"/>
        <item x="104"/>
        <item x="59"/>
        <item x="22"/>
        <item x="182"/>
        <item x="185"/>
        <item x="58"/>
        <item x="296"/>
        <item x="239"/>
        <item x="164"/>
        <item x="272"/>
        <item x="42"/>
        <item x="235"/>
        <item x="292"/>
        <item x="218"/>
        <item x="27"/>
        <item x="52"/>
        <item x="136"/>
        <item x="279"/>
        <item x="312"/>
        <item x="83"/>
        <item x="214"/>
        <item x="320"/>
        <item x="51"/>
        <item x="262"/>
        <item x="276"/>
        <item x="340"/>
        <item x="304"/>
        <item x="335"/>
        <item x="39"/>
        <item x="107"/>
        <item x="225"/>
        <item x="338"/>
        <item x="97"/>
        <item x="137"/>
        <item x="238"/>
        <item x="34"/>
        <item x="174"/>
        <item x="125"/>
        <item x="303"/>
        <item x="314"/>
        <item x="92"/>
        <item x="159"/>
        <item x="200"/>
        <item x="6"/>
        <item x="319"/>
        <item x="336"/>
        <item x="188"/>
        <item x="151"/>
        <item x="301"/>
        <item x="252"/>
        <item x="101"/>
        <item x="280"/>
        <item x="176"/>
        <item x="15"/>
        <item x="269"/>
        <item x="291"/>
        <item x="55"/>
        <item x="179"/>
        <item x="295"/>
        <item x="143"/>
        <item x="153"/>
        <item x="132"/>
        <item x="130"/>
        <item x="157"/>
        <item x="271"/>
        <item x="219"/>
        <item x="273"/>
        <item x="88"/>
        <item x="249"/>
        <item x="28"/>
        <item x="197"/>
        <item x="76"/>
        <item x="325"/>
        <item x="9"/>
        <item x="243"/>
        <item x="94"/>
        <item x="13"/>
        <item x="255"/>
        <item x="309"/>
        <item x="180"/>
        <item x="289"/>
        <item x="146"/>
        <item x="181"/>
        <item x="148"/>
        <item x="250"/>
        <item x="331"/>
        <item x="268"/>
        <item x="210"/>
        <item x="332"/>
        <item x="299"/>
        <item x="54"/>
        <item t="default"/>
      </items>
    </pivotField>
    <pivotField axis="axisRow" showAll="0">
      <items count="13">
        <item x="0"/>
        <item x="3"/>
        <item x="9"/>
        <item x="2"/>
        <item x="8"/>
        <item x="1"/>
        <item x="6"/>
        <item x="4"/>
        <item x="10"/>
        <item x="11"/>
        <item x="5"/>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13">
    <i>
      <x/>
    </i>
    <i>
      <x v="1"/>
    </i>
    <i>
      <x v="2"/>
    </i>
    <i>
      <x v="3"/>
    </i>
    <i>
      <x v="4"/>
    </i>
    <i>
      <x v="5"/>
    </i>
    <i>
      <x v="6"/>
    </i>
    <i>
      <x v="7"/>
    </i>
    <i>
      <x v="8"/>
    </i>
    <i>
      <x v="9"/>
    </i>
    <i>
      <x v="10"/>
    </i>
    <i>
      <x v="11"/>
    </i>
    <i t="grand">
      <x/>
    </i>
  </rowItems>
  <colItems count="1">
    <i/>
  </colItems>
  <dataFields count="1">
    <dataField name="Count of Transaction Date"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767904F-0611-44DD-8B66-9B44FDF10931}" sourceName="Month">
  <pivotTables>
    <pivotTable tabId="2" name="PivotTable1"/>
    <pivotTable tabId="4" name="PivotTable2"/>
    <pivotTable tabId="5" name="PivotTable3"/>
    <pivotTable tabId="6" name="PivotTable4"/>
    <pivotTable tabId="7" name="PivotTable6"/>
    <pivotTable tabId="9" name="PivotTable1"/>
    <pivotTable tabId="10" name="PivotTable1"/>
    <pivotTable tabId="11" name="PivotTable2"/>
  </pivotTables>
  <data>
    <tabular pivotCacheId="1287936977">
      <items count="12">
        <i x="0" s="1"/>
        <i x="3"/>
        <i x="9"/>
        <i x="2"/>
        <i x="8"/>
        <i x="1"/>
        <i x="6"/>
        <i x="4"/>
        <i x="10"/>
        <i x="11"/>
        <i x="5"/>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3" xr10:uid="{DC9CA7D2-5CE6-4219-92DF-99FFA4774F66}" cache="Slicer_Month" caption="Month" startItem="5"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9706F1CB-AB1F-4648-8763-6CB6F7C7FC79}" cache="Slicer_Month" caption="Month"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1AC32CC0-D9BA-4520-9FAD-9D967EDC3997}" cache="Slicer_Month" caption="Month"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96099D27-7CB0-4024-A45F-08ED2239D0D2}" cache="Slicer_Month" caption="Month" showCaption="0" style="Slicer Style 1" rowHeight="1980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4" xr10:uid="{0069A3DC-531B-46D8-801E-FB9DF83D9341}" cache="Slicer_Month" caption="Month" startItem="5"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5" xr10:uid="{D726A73C-8F0A-4968-ACEE-98D209BBD74B}" cache="Slicer_Month" caption="Month" startItem="3"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A389F-4AFA-4474-AB55-60B425121178}">
  <dimension ref="A3:C30"/>
  <sheetViews>
    <sheetView workbookViewId="0">
      <selection activeCell="A3" sqref="A3"/>
    </sheetView>
  </sheetViews>
  <sheetFormatPr defaultRowHeight="14.4" x14ac:dyDescent="0.3"/>
  <cols>
    <col min="1" max="1" width="12.5546875" bestFit="1" customWidth="1"/>
    <col min="2" max="2" width="22.5546875" style="5" bestFit="1" customWidth="1"/>
    <col min="3" max="3" width="26" style="5" bestFit="1" customWidth="1"/>
    <col min="4" max="12" width="8" bestFit="1" customWidth="1"/>
    <col min="13" max="13" width="24.77734375" bestFit="1" customWidth="1"/>
    <col min="14" max="15" width="7" bestFit="1" customWidth="1"/>
    <col min="16" max="16" width="8" bestFit="1" customWidth="1"/>
    <col min="17" max="17" width="7" bestFit="1" customWidth="1"/>
    <col min="18" max="18" width="8" bestFit="1" customWidth="1"/>
    <col min="19" max="24" width="7" bestFit="1" customWidth="1"/>
    <col min="25" max="120" width="6" bestFit="1" customWidth="1"/>
    <col min="121" max="219" width="7" bestFit="1" customWidth="1"/>
    <col min="220" max="220" width="10.77734375" bestFit="1" customWidth="1"/>
  </cols>
  <sheetData>
    <row r="3" spans="1:3" x14ac:dyDescent="0.3">
      <c r="A3" s="2" t="s">
        <v>1320</v>
      </c>
      <c r="B3" s="5" t="s">
        <v>1319</v>
      </c>
      <c r="C3" s="5" t="s">
        <v>1335</v>
      </c>
    </row>
    <row r="4" spans="1:3" x14ac:dyDescent="0.3">
      <c r="A4" s="3" t="s">
        <v>1321</v>
      </c>
      <c r="B4" s="5">
        <v>2117660</v>
      </c>
      <c r="C4" s="5">
        <v>888857</v>
      </c>
    </row>
    <row r="5" spans="1:3" x14ac:dyDescent="0.3">
      <c r="B5"/>
      <c r="C5"/>
    </row>
    <row r="6" spans="1:3" x14ac:dyDescent="0.3">
      <c r="B6"/>
      <c r="C6"/>
    </row>
    <row r="7" spans="1:3" x14ac:dyDescent="0.3">
      <c r="B7"/>
      <c r="C7"/>
    </row>
    <row r="8" spans="1:3" x14ac:dyDescent="0.3">
      <c r="B8"/>
      <c r="C8"/>
    </row>
    <row r="9" spans="1:3" x14ac:dyDescent="0.3">
      <c r="B9"/>
      <c r="C9"/>
    </row>
    <row r="10" spans="1:3" x14ac:dyDescent="0.3">
      <c r="B10"/>
      <c r="C10"/>
    </row>
    <row r="11" spans="1:3" x14ac:dyDescent="0.3">
      <c r="B11"/>
      <c r="C11"/>
    </row>
    <row r="12" spans="1:3" x14ac:dyDescent="0.3">
      <c r="B12"/>
      <c r="C12"/>
    </row>
    <row r="13" spans="1:3" x14ac:dyDescent="0.3">
      <c r="B13"/>
      <c r="C13"/>
    </row>
    <row r="14" spans="1:3" x14ac:dyDescent="0.3">
      <c r="B14"/>
      <c r="C14"/>
    </row>
    <row r="15" spans="1:3" x14ac:dyDescent="0.3">
      <c r="B15"/>
      <c r="C15"/>
    </row>
    <row r="16" spans="1:3" x14ac:dyDescent="0.3">
      <c r="B16"/>
      <c r="C16"/>
    </row>
    <row r="17" spans="2:3" x14ac:dyDescent="0.3">
      <c r="B17"/>
      <c r="C17"/>
    </row>
    <row r="18" spans="2:3" x14ac:dyDescent="0.3">
      <c r="B18"/>
      <c r="C18"/>
    </row>
    <row r="19" spans="2:3" x14ac:dyDescent="0.3">
      <c r="B19"/>
      <c r="C19"/>
    </row>
    <row r="20" spans="2:3" x14ac:dyDescent="0.3">
      <c r="B20"/>
      <c r="C20"/>
    </row>
    <row r="21" spans="2:3" x14ac:dyDescent="0.3">
      <c r="B21"/>
      <c r="C21"/>
    </row>
    <row r="22" spans="2:3" x14ac:dyDescent="0.3">
      <c r="B22"/>
      <c r="C22"/>
    </row>
    <row r="23" spans="2:3" x14ac:dyDescent="0.3">
      <c r="B23"/>
      <c r="C23"/>
    </row>
    <row r="24" spans="2:3" x14ac:dyDescent="0.3">
      <c r="B24"/>
      <c r="C24"/>
    </row>
    <row r="25" spans="2:3" x14ac:dyDescent="0.3">
      <c r="B25"/>
      <c r="C25"/>
    </row>
    <row r="26" spans="2:3" x14ac:dyDescent="0.3">
      <c r="B26"/>
      <c r="C26"/>
    </row>
    <row r="27" spans="2:3" x14ac:dyDescent="0.3">
      <c r="B27"/>
      <c r="C27"/>
    </row>
    <row r="28" spans="2:3" x14ac:dyDescent="0.3">
      <c r="B28"/>
      <c r="C28"/>
    </row>
    <row r="29" spans="2:3" x14ac:dyDescent="0.3">
      <c r="B29"/>
      <c r="C29"/>
    </row>
    <row r="30" spans="2:3" x14ac:dyDescent="0.3">
      <c r="B30"/>
      <c r="C30"/>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7B90B-ABB5-4EED-97B9-DD54C40D0639}">
  <dimension ref="A3:B358"/>
  <sheetViews>
    <sheetView topLeftCell="A7" workbookViewId="0">
      <selection activeCell="M15" sqref="M15"/>
    </sheetView>
  </sheetViews>
  <sheetFormatPr defaultRowHeight="14.4" x14ac:dyDescent="0.3"/>
  <cols>
    <col min="1" max="1" width="14.33203125" bestFit="1" customWidth="1"/>
    <col min="2" max="2" width="20.21875" style="5" bestFit="1" customWidth="1"/>
  </cols>
  <sheetData>
    <row r="3" spans="1:2" x14ac:dyDescent="0.3">
      <c r="A3" s="2" t="s">
        <v>1320</v>
      </c>
      <c r="B3" s="5" t="s">
        <v>1336</v>
      </c>
    </row>
    <row r="4" spans="1:2" x14ac:dyDescent="0.3">
      <c r="A4" s="3" t="s">
        <v>1321</v>
      </c>
      <c r="B4" s="5">
        <v>20336291</v>
      </c>
    </row>
    <row r="5" spans="1:2" x14ac:dyDescent="0.3">
      <c r="A5" s="4">
        <v>45658</v>
      </c>
      <c r="B5" s="5">
        <v>1826081</v>
      </c>
    </row>
    <row r="6" spans="1:2" x14ac:dyDescent="0.3">
      <c r="A6" s="4">
        <v>45659</v>
      </c>
      <c r="B6" s="5">
        <v>3737844</v>
      </c>
    </row>
    <row r="7" spans="1:2" x14ac:dyDescent="0.3">
      <c r="A7" s="4">
        <v>45660</v>
      </c>
      <c r="B7" s="5">
        <v>745191</v>
      </c>
    </row>
    <row r="8" spans="1:2" x14ac:dyDescent="0.3">
      <c r="A8" s="4">
        <v>45662</v>
      </c>
      <c r="B8" s="5">
        <v>0</v>
      </c>
    </row>
    <row r="9" spans="1:2" x14ac:dyDescent="0.3">
      <c r="A9" s="4">
        <v>45663</v>
      </c>
      <c r="B9" s="5">
        <v>881776</v>
      </c>
    </row>
    <row r="10" spans="1:2" x14ac:dyDescent="0.3">
      <c r="A10" s="4">
        <v>45664</v>
      </c>
      <c r="B10" s="5">
        <v>1634479</v>
      </c>
    </row>
    <row r="11" spans="1:2" x14ac:dyDescent="0.3">
      <c r="A11" s="4">
        <v>45665</v>
      </c>
      <c r="B11" s="5">
        <v>561219</v>
      </c>
    </row>
    <row r="12" spans="1:2" x14ac:dyDescent="0.3">
      <c r="A12" s="4">
        <v>45666</v>
      </c>
      <c r="B12" s="5">
        <v>0</v>
      </c>
    </row>
    <row r="13" spans="1:2" x14ac:dyDescent="0.3">
      <c r="A13" s="4">
        <v>45667</v>
      </c>
      <c r="B13" s="5">
        <v>0</v>
      </c>
    </row>
    <row r="14" spans="1:2" x14ac:dyDescent="0.3">
      <c r="A14" s="4">
        <v>45668</v>
      </c>
      <c r="B14" s="5">
        <v>402008</v>
      </c>
    </row>
    <row r="15" spans="1:2" x14ac:dyDescent="0.3">
      <c r="A15" s="4">
        <v>45669</v>
      </c>
      <c r="B15" s="5">
        <v>0</v>
      </c>
    </row>
    <row r="16" spans="1:2" x14ac:dyDescent="0.3">
      <c r="A16" s="4">
        <v>45670</v>
      </c>
      <c r="B16" s="5">
        <v>0</v>
      </c>
    </row>
    <row r="17" spans="1:2" x14ac:dyDescent="0.3">
      <c r="A17" s="4">
        <v>45671</v>
      </c>
      <c r="B17" s="5">
        <v>0</v>
      </c>
    </row>
    <row r="18" spans="1:2" x14ac:dyDescent="0.3">
      <c r="A18" s="4">
        <v>45672</v>
      </c>
      <c r="B18" s="5">
        <v>0</v>
      </c>
    </row>
    <row r="19" spans="1:2" x14ac:dyDescent="0.3">
      <c r="A19" s="4">
        <v>45673</v>
      </c>
      <c r="B19" s="5">
        <v>0</v>
      </c>
    </row>
    <row r="20" spans="1:2" x14ac:dyDescent="0.3">
      <c r="A20" s="4">
        <v>45674</v>
      </c>
      <c r="B20" s="5">
        <v>1969180</v>
      </c>
    </row>
    <row r="21" spans="1:2" x14ac:dyDescent="0.3">
      <c r="A21" s="4">
        <v>45675</v>
      </c>
      <c r="B21" s="5">
        <v>2329495</v>
      </c>
    </row>
    <row r="22" spans="1:2" x14ac:dyDescent="0.3">
      <c r="A22" s="4">
        <v>45676</v>
      </c>
      <c r="B22" s="5">
        <v>280494</v>
      </c>
    </row>
    <row r="23" spans="1:2" x14ac:dyDescent="0.3">
      <c r="A23" s="4">
        <v>45677</v>
      </c>
      <c r="B23" s="5">
        <v>74718</v>
      </c>
    </row>
    <row r="24" spans="1:2" x14ac:dyDescent="0.3">
      <c r="A24" s="4">
        <v>45678</v>
      </c>
      <c r="B24" s="5">
        <v>0</v>
      </c>
    </row>
    <row r="25" spans="1:2" x14ac:dyDescent="0.3">
      <c r="A25" s="4">
        <v>45679</v>
      </c>
      <c r="B25" s="5">
        <v>680979</v>
      </c>
    </row>
    <row r="26" spans="1:2" x14ac:dyDescent="0.3">
      <c r="A26" s="4">
        <v>45680</v>
      </c>
      <c r="B26" s="5">
        <v>0</v>
      </c>
    </row>
    <row r="27" spans="1:2" x14ac:dyDescent="0.3">
      <c r="A27" s="4">
        <v>45681</v>
      </c>
      <c r="B27" s="5">
        <v>2333630</v>
      </c>
    </row>
    <row r="28" spans="1:2" x14ac:dyDescent="0.3">
      <c r="A28" s="4">
        <v>45682</v>
      </c>
      <c r="B28" s="5">
        <v>0</v>
      </c>
    </row>
    <row r="29" spans="1:2" x14ac:dyDescent="0.3">
      <c r="A29" s="4">
        <v>45683</v>
      </c>
      <c r="B29" s="5">
        <v>996854</v>
      </c>
    </row>
    <row r="30" spans="1:2" x14ac:dyDescent="0.3">
      <c r="A30" s="4">
        <v>45684</v>
      </c>
      <c r="B30" s="5">
        <v>1065873</v>
      </c>
    </row>
    <row r="31" spans="1:2" x14ac:dyDescent="0.3">
      <c r="A31" s="4">
        <v>45685</v>
      </c>
      <c r="B31" s="5">
        <v>718061</v>
      </c>
    </row>
    <row r="32" spans="1:2" x14ac:dyDescent="0.3">
      <c r="A32" s="4">
        <v>45686</v>
      </c>
      <c r="B32" s="5">
        <v>0</v>
      </c>
    </row>
    <row r="33" spans="1:2" x14ac:dyDescent="0.3">
      <c r="A33" s="4">
        <v>45687</v>
      </c>
      <c r="B33" s="5">
        <v>0</v>
      </c>
    </row>
    <row r="34" spans="1:2" x14ac:dyDescent="0.3">
      <c r="A34" s="4">
        <v>45688</v>
      </c>
      <c r="B34" s="5">
        <v>98409</v>
      </c>
    </row>
    <row r="35" spans="1:2" x14ac:dyDescent="0.3">
      <c r="A35" s="3" t="s">
        <v>1334</v>
      </c>
      <c r="B35" s="5">
        <v>20336291</v>
      </c>
    </row>
    <row r="36" spans="1:2" x14ac:dyDescent="0.3">
      <c r="B36"/>
    </row>
    <row r="37" spans="1:2" x14ac:dyDescent="0.3">
      <c r="B37"/>
    </row>
    <row r="38" spans="1:2" x14ac:dyDescent="0.3">
      <c r="B38"/>
    </row>
    <row r="39" spans="1:2" x14ac:dyDescent="0.3">
      <c r="B39"/>
    </row>
    <row r="40" spans="1:2" x14ac:dyDescent="0.3">
      <c r="B40"/>
    </row>
    <row r="41" spans="1:2" x14ac:dyDescent="0.3">
      <c r="B41"/>
    </row>
    <row r="42" spans="1:2" x14ac:dyDescent="0.3">
      <c r="B42"/>
    </row>
    <row r="43" spans="1:2" x14ac:dyDescent="0.3">
      <c r="B43"/>
    </row>
    <row r="44" spans="1:2" x14ac:dyDescent="0.3">
      <c r="B44"/>
    </row>
    <row r="45" spans="1:2" x14ac:dyDescent="0.3">
      <c r="B45"/>
    </row>
    <row r="46" spans="1:2" x14ac:dyDescent="0.3">
      <c r="B46"/>
    </row>
    <row r="47" spans="1:2" x14ac:dyDescent="0.3">
      <c r="B47"/>
    </row>
    <row r="48" spans="1:2" x14ac:dyDescent="0.3">
      <c r="B48"/>
    </row>
    <row r="49" spans="2:2" x14ac:dyDescent="0.3">
      <c r="B49"/>
    </row>
    <row r="50" spans="2:2" x14ac:dyDescent="0.3">
      <c r="B50"/>
    </row>
    <row r="51" spans="2:2" x14ac:dyDescent="0.3">
      <c r="B51"/>
    </row>
    <row r="52" spans="2:2" x14ac:dyDescent="0.3">
      <c r="B52"/>
    </row>
    <row r="53" spans="2:2" x14ac:dyDescent="0.3">
      <c r="B53"/>
    </row>
    <row r="54" spans="2:2" x14ac:dyDescent="0.3">
      <c r="B54"/>
    </row>
    <row r="55" spans="2:2" x14ac:dyDescent="0.3">
      <c r="B55"/>
    </row>
    <row r="56" spans="2:2" x14ac:dyDescent="0.3">
      <c r="B56"/>
    </row>
    <row r="57" spans="2:2" x14ac:dyDescent="0.3">
      <c r="B57"/>
    </row>
    <row r="58" spans="2:2" x14ac:dyDescent="0.3">
      <c r="B58"/>
    </row>
    <row r="59" spans="2:2" x14ac:dyDescent="0.3">
      <c r="B59"/>
    </row>
    <row r="60" spans="2:2" x14ac:dyDescent="0.3">
      <c r="B60"/>
    </row>
    <row r="61" spans="2:2" x14ac:dyDescent="0.3">
      <c r="B61"/>
    </row>
    <row r="62" spans="2:2" x14ac:dyDescent="0.3">
      <c r="B62"/>
    </row>
    <row r="63" spans="2:2" x14ac:dyDescent="0.3">
      <c r="B63"/>
    </row>
    <row r="64" spans="2:2" x14ac:dyDescent="0.3">
      <c r="B64"/>
    </row>
    <row r="65" spans="2:2" x14ac:dyDescent="0.3">
      <c r="B65"/>
    </row>
    <row r="66" spans="2:2" x14ac:dyDescent="0.3">
      <c r="B66"/>
    </row>
    <row r="67" spans="2:2" x14ac:dyDescent="0.3">
      <c r="B67"/>
    </row>
    <row r="68" spans="2:2" x14ac:dyDescent="0.3">
      <c r="B68"/>
    </row>
    <row r="69" spans="2:2" x14ac:dyDescent="0.3">
      <c r="B69"/>
    </row>
    <row r="70" spans="2:2" x14ac:dyDescent="0.3">
      <c r="B70"/>
    </row>
    <row r="71" spans="2:2" x14ac:dyDescent="0.3">
      <c r="B71"/>
    </row>
    <row r="72" spans="2:2" x14ac:dyDescent="0.3">
      <c r="B72"/>
    </row>
    <row r="73" spans="2:2" x14ac:dyDescent="0.3">
      <c r="B73"/>
    </row>
    <row r="74" spans="2:2" x14ac:dyDescent="0.3">
      <c r="B74"/>
    </row>
    <row r="75" spans="2:2" x14ac:dyDescent="0.3">
      <c r="B75"/>
    </row>
    <row r="76" spans="2:2" x14ac:dyDescent="0.3">
      <c r="B76"/>
    </row>
    <row r="77" spans="2:2" x14ac:dyDescent="0.3">
      <c r="B77"/>
    </row>
    <row r="78" spans="2:2" x14ac:dyDescent="0.3">
      <c r="B78"/>
    </row>
    <row r="79" spans="2:2" x14ac:dyDescent="0.3">
      <c r="B79"/>
    </row>
    <row r="80" spans="2:2" x14ac:dyDescent="0.3">
      <c r="B80"/>
    </row>
    <row r="81" spans="2:2" x14ac:dyDescent="0.3">
      <c r="B81"/>
    </row>
    <row r="82" spans="2:2" x14ac:dyDescent="0.3">
      <c r="B82"/>
    </row>
    <row r="83" spans="2:2" x14ac:dyDescent="0.3">
      <c r="B83"/>
    </row>
    <row r="84" spans="2:2" x14ac:dyDescent="0.3">
      <c r="B84"/>
    </row>
    <row r="85" spans="2:2" x14ac:dyDescent="0.3">
      <c r="B85"/>
    </row>
    <row r="86" spans="2:2" x14ac:dyDescent="0.3">
      <c r="B86"/>
    </row>
    <row r="87" spans="2:2" x14ac:dyDescent="0.3">
      <c r="B87"/>
    </row>
    <row r="88" spans="2:2" x14ac:dyDescent="0.3">
      <c r="B88"/>
    </row>
    <row r="89" spans="2:2" x14ac:dyDescent="0.3">
      <c r="B89"/>
    </row>
    <row r="90" spans="2:2" x14ac:dyDescent="0.3">
      <c r="B90"/>
    </row>
    <row r="91" spans="2:2" x14ac:dyDescent="0.3">
      <c r="B91"/>
    </row>
    <row r="92" spans="2:2" x14ac:dyDescent="0.3">
      <c r="B92"/>
    </row>
    <row r="93" spans="2:2" x14ac:dyDescent="0.3">
      <c r="B93"/>
    </row>
    <row r="94" spans="2:2" x14ac:dyDescent="0.3">
      <c r="B94"/>
    </row>
    <row r="95" spans="2:2" x14ac:dyDescent="0.3">
      <c r="B95"/>
    </row>
    <row r="96" spans="2:2" x14ac:dyDescent="0.3">
      <c r="B96"/>
    </row>
    <row r="97" spans="2:2" x14ac:dyDescent="0.3">
      <c r="B97"/>
    </row>
    <row r="98" spans="2:2" x14ac:dyDescent="0.3">
      <c r="B98"/>
    </row>
    <row r="99" spans="2:2" x14ac:dyDescent="0.3">
      <c r="B99"/>
    </row>
    <row r="100" spans="2:2" x14ac:dyDescent="0.3">
      <c r="B100"/>
    </row>
    <row r="101" spans="2:2" x14ac:dyDescent="0.3">
      <c r="B101"/>
    </row>
    <row r="102" spans="2:2" x14ac:dyDescent="0.3">
      <c r="B102"/>
    </row>
    <row r="103" spans="2:2" x14ac:dyDescent="0.3">
      <c r="B103"/>
    </row>
    <row r="104" spans="2:2" x14ac:dyDescent="0.3">
      <c r="B104"/>
    </row>
    <row r="105" spans="2:2" x14ac:dyDescent="0.3">
      <c r="B105"/>
    </row>
    <row r="106" spans="2:2" x14ac:dyDescent="0.3">
      <c r="B106"/>
    </row>
    <row r="107" spans="2:2" x14ac:dyDescent="0.3">
      <c r="B107"/>
    </row>
    <row r="108" spans="2:2" x14ac:dyDescent="0.3">
      <c r="B108"/>
    </row>
    <row r="109" spans="2:2" x14ac:dyDescent="0.3">
      <c r="B109"/>
    </row>
    <row r="110" spans="2:2" x14ac:dyDescent="0.3">
      <c r="B110"/>
    </row>
    <row r="111" spans="2:2" x14ac:dyDescent="0.3">
      <c r="B111"/>
    </row>
    <row r="112" spans="2:2" x14ac:dyDescent="0.3">
      <c r="B112"/>
    </row>
    <row r="113" spans="2:2" x14ac:dyDescent="0.3">
      <c r="B113"/>
    </row>
    <row r="114" spans="2:2" x14ac:dyDescent="0.3">
      <c r="B114"/>
    </row>
    <row r="115" spans="2:2" x14ac:dyDescent="0.3">
      <c r="B115"/>
    </row>
    <row r="116" spans="2:2" x14ac:dyDescent="0.3">
      <c r="B116"/>
    </row>
    <row r="117" spans="2:2" x14ac:dyDescent="0.3">
      <c r="B117"/>
    </row>
    <row r="118" spans="2:2" x14ac:dyDescent="0.3">
      <c r="B118"/>
    </row>
    <row r="119" spans="2:2" x14ac:dyDescent="0.3">
      <c r="B119"/>
    </row>
    <row r="120" spans="2:2" x14ac:dyDescent="0.3">
      <c r="B120"/>
    </row>
    <row r="121" spans="2:2" x14ac:dyDescent="0.3">
      <c r="B121"/>
    </row>
    <row r="122" spans="2:2" x14ac:dyDescent="0.3">
      <c r="B122"/>
    </row>
    <row r="123" spans="2:2" x14ac:dyDescent="0.3">
      <c r="B123"/>
    </row>
    <row r="124" spans="2:2" x14ac:dyDescent="0.3">
      <c r="B124"/>
    </row>
    <row r="125" spans="2:2" x14ac:dyDescent="0.3">
      <c r="B125"/>
    </row>
    <row r="126" spans="2:2" x14ac:dyDescent="0.3">
      <c r="B126"/>
    </row>
    <row r="127" spans="2:2" x14ac:dyDescent="0.3">
      <c r="B127"/>
    </row>
    <row r="128" spans="2:2" x14ac:dyDescent="0.3">
      <c r="B128"/>
    </row>
    <row r="129" spans="2:2" x14ac:dyDescent="0.3">
      <c r="B129"/>
    </row>
    <row r="130" spans="2:2" x14ac:dyDescent="0.3">
      <c r="B130"/>
    </row>
    <row r="131" spans="2:2" x14ac:dyDescent="0.3">
      <c r="B131"/>
    </row>
    <row r="132" spans="2:2" x14ac:dyDescent="0.3">
      <c r="B132"/>
    </row>
    <row r="133" spans="2:2" x14ac:dyDescent="0.3">
      <c r="B133"/>
    </row>
    <row r="134" spans="2:2" x14ac:dyDescent="0.3">
      <c r="B134"/>
    </row>
    <row r="135" spans="2:2" x14ac:dyDescent="0.3">
      <c r="B135"/>
    </row>
    <row r="136" spans="2:2" x14ac:dyDescent="0.3">
      <c r="B136"/>
    </row>
    <row r="137" spans="2:2" x14ac:dyDescent="0.3">
      <c r="B137"/>
    </row>
    <row r="138" spans="2:2" x14ac:dyDescent="0.3">
      <c r="B138"/>
    </row>
    <row r="139" spans="2:2" x14ac:dyDescent="0.3">
      <c r="B139"/>
    </row>
    <row r="140" spans="2:2" x14ac:dyDescent="0.3">
      <c r="B140"/>
    </row>
    <row r="141" spans="2:2" x14ac:dyDescent="0.3">
      <c r="B141"/>
    </row>
    <row r="142" spans="2:2" x14ac:dyDescent="0.3">
      <c r="B142"/>
    </row>
    <row r="143" spans="2:2" x14ac:dyDescent="0.3">
      <c r="B143"/>
    </row>
    <row r="144" spans="2:2" x14ac:dyDescent="0.3">
      <c r="B144"/>
    </row>
    <row r="145" spans="2:2" x14ac:dyDescent="0.3">
      <c r="B145"/>
    </row>
    <row r="146" spans="2:2" x14ac:dyDescent="0.3">
      <c r="B146"/>
    </row>
    <row r="147" spans="2:2" x14ac:dyDescent="0.3">
      <c r="B147"/>
    </row>
    <row r="148" spans="2:2" x14ac:dyDescent="0.3">
      <c r="B148"/>
    </row>
    <row r="149" spans="2:2" x14ac:dyDescent="0.3">
      <c r="B149"/>
    </row>
    <row r="150" spans="2:2" x14ac:dyDescent="0.3">
      <c r="B150"/>
    </row>
    <row r="151" spans="2:2" x14ac:dyDescent="0.3">
      <c r="B151"/>
    </row>
    <row r="152" spans="2:2" x14ac:dyDescent="0.3">
      <c r="B152"/>
    </row>
    <row r="153" spans="2:2" x14ac:dyDescent="0.3">
      <c r="B153"/>
    </row>
    <row r="154" spans="2:2" x14ac:dyDescent="0.3">
      <c r="B154"/>
    </row>
    <row r="155" spans="2:2" x14ac:dyDescent="0.3">
      <c r="B155"/>
    </row>
    <row r="156" spans="2:2" x14ac:dyDescent="0.3">
      <c r="B156"/>
    </row>
    <row r="157" spans="2:2" x14ac:dyDescent="0.3">
      <c r="B157"/>
    </row>
    <row r="158" spans="2:2" x14ac:dyDescent="0.3">
      <c r="B158"/>
    </row>
    <row r="159" spans="2:2" x14ac:dyDescent="0.3">
      <c r="B159"/>
    </row>
    <row r="160" spans="2:2" x14ac:dyDescent="0.3">
      <c r="B160"/>
    </row>
    <row r="161" spans="2:2" x14ac:dyDescent="0.3">
      <c r="B161"/>
    </row>
    <row r="162" spans="2:2" x14ac:dyDescent="0.3">
      <c r="B162"/>
    </row>
    <row r="163" spans="2:2" x14ac:dyDescent="0.3">
      <c r="B163"/>
    </row>
    <row r="164" spans="2:2" x14ac:dyDescent="0.3">
      <c r="B164"/>
    </row>
    <row r="165" spans="2:2" x14ac:dyDescent="0.3">
      <c r="B165"/>
    </row>
    <row r="166" spans="2:2" x14ac:dyDescent="0.3">
      <c r="B166"/>
    </row>
    <row r="167" spans="2:2" x14ac:dyDescent="0.3">
      <c r="B167"/>
    </row>
    <row r="168" spans="2:2" x14ac:dyDescent="0.3">
      <c r="B168"/>
    </row>
    <row r="169" spans="2:2" x14ac:dyDescent="0.3">
      <c r="B169"/>
    </row>
    <row r="170" spans="2:2" x14ac:dyDescent="0.3">
      <c r="B170"/>
    </row>
    <row r="171" spans="2:2" x14ac:dyDescent="0.3">
      <c r="B171"/>
    </row>
    <row r="172" spans="2:2" x14ac:dyDescent="0.3">
      <c r="B172"/>
    </row>
    <row r="173" spans="2:2" x14ac:dyDescent="0.3">
      <c r="B173"/>
    </row>
    <row r="174" spans="2:2" x14ac:dyDescent="0.3">
      <c r="B174"/>
    </row>
    <row r="175" spans="2:2" x14ac:dyDescent="0.3">
      <c r="B175"/>
    </row>
    <row r="176" spans="2:2" x14ac:dyDescent="0.3">
      <c r="B176"/>
    </row>
    <row r="177" spans="2:2" x14ac:dyDescent="0.3">
      <c r="B177"/>
    </row>
    <row r="178" spans="2:2" x14ac:dyDescent="0.3">
      <c r="B178"/>
    </row>
    <row r="179" spans="2:2" x14ac:dyDescent="0.3">
      <c r="B179"/>
    </row>
    <row r="180" spans="2:2" x14ac:dyDescent="0.3">
      <c r="B180"/>
    </row>
    <row r="181" spans="2:2" x14ac:dyDescent="0.3">
      <c r="B181"/>
    </row>
    <row r="182" spans="2:2" x14ac:dyDescent="0.3">
      <c r="B182"/>
    </row>
    <row r="183" spans="2:2" x14ac:dyDescent="0.3">
      <c r="B183"/>
    </row>
    <row r="184" spans="2:2" x14ac:dyDescent="0.3">
      <c r="B184"/>
    </row>
    <row r="185" spans="2:2" x14ac:dyDescent="0.3">
      <c r="B185"/>
    </row>
    <row r="186" spans="2:2" x14ac:dyDescent="0.3">
      <c r="B186"/>
    </row>
    <row r="187" spans="2:2" x14ac:dyDescent="0.3">
      <c r="B187"/>
    </row>
    <row r="188" spans="2:2" x14ac:dyDescent="0.3">
      <c r="B188"/>
    </row>
    <row r="189" spans="2:2" x14ac:dyDescent="0.3">
      <c r="B189"/>
    </row>
    <row r="190" spans="2:2" x14ac:dyDescent="0.3">
      <c r="B190"/>
    </row>
    <row r="191" spans="2:2" x14ac:dyDescent="0.3">
      <c r="B191"/>
    </row>
    <row r="192" spans="2:2" x14ac:dyDescent="0.3">
      <c r="B192"/>
    </row>
    <row r="193" spans="2:2" x14ac:dyDescent="0.3">
      <c r="B193"/>
    </row>
    <row r="194" spans="2:2" x14ac:dyDescent="0.3">
      <c r="B194"/>
    </row>
    <row r="195" spans="2:2" x14ac:dyDescent="0.3">
      <c r="B195"/>
    </row>
    <row r="196" spans="2:2" x14ac:dyDescent="0.3">
      <c r="B196"/>
    </row>
    <row r="197" spans="2:2" x14ac:dyDescent="0.3">
      <c r="B197"/>
    </row>
    <row r="198" spans="2:2" x14ac:dyDescent="0.3">
      <c r="B198"/>
    </row>
    <row r="199" spans="2:2" x14ac:dyDescent="0.3">
      <c r="B199"/>
    </row>
    <row r="200" spans="2:2" x14ac:dyDescent="0.3">
      <c r="B200"/>
    </row>
    <row r="201" spans="2:2" x14ac:dyDescent="0.3">
      <c r="B201"/>
    </row>
    <row r="202" spans="2:2" x14ac:dyDescent="0.3">
      <c r="B202"/>
    </row>
    <row r="203" spans="2:2" x14ac:dyDescent="0.3">
      <c r="B203"/>
    </row>
    <row r="204" spans="2:2" x14ac:dyDescent="0.3">
      <c r="B204"/>
    </row>
    <row r="205" spans="2:2" x14ac:dyDescent="0.3">
      <c r="B205"/>
    </row>
    <row r="206" spans="2:2" x14ac:dyDescent="0.3">
      <c r="B206"/>
    </row>
    <row r="207" spans="2:2" x14ac:dyDescent="0.3">
      <c r="B207"/>
    </row>
    <row r="208" spans="2:2" x14ac:dyDescent="0.3">
      <c r="B208"/>
    </row>
    <row r="209" spans="2:2" x14ac:dyDescent="0.3">
      <c r="B209"/>
    </row>
    <row r="210" spans="2:2" x14ac:dyDescent="0.3">
      <c r="B210"/>
    </row>
    <row r="211" spans="2:2" x14ac:dyDescent="0.3">
      <c r="B211"/>
    </row>
    <row r="212" spans="2:2" x14ac:dyDescent="0.3">
      <c r="B212"/>
    </row>
    <row r="213" spans="2:2" x14ac:dyDescent="0.3">
      <c r="B213"/>
    </row>
    <row r="214" spans="2:2" x14ac:dyDescent="0.3">
      <c r="B214"/>
    </row>
    <row r="215" spans="2:2" x14ac:dyDescent="0.3">
      <c r="B215"/>
    </row>
    <row r="216" spans="2:2" x14ac:dyDescent="0.3">
      <c r="B216"/>
    </row>
    <row r="217" spans="2:2" x14ac:dyDescent="0.3">
      <c r="B217"/>
    </row>
    <row r="218" spans="2:2" x14ac:dyDescent="0.3">
      <c r="B218"/>
    </row>
    <row r="219" spans="2:2" x14ac:dyDescent="0.3">
      <c r="B219"/>
    </row>
    <row r="220" spans="2:2" x14ac:dyDescent="0.3">
      <c r="B220"/>
    </row>
    <row r="221" spans="2:2" x14ac:dyDescent="0.3">
      <c r="B221"/>
    </row>
    <row r="222" spans="2:2" x14ac:dyDescent="0.3">
      <c r="B222"/>
    </row>
    <row r="223" spans="2:2" x14ac:dyDescent="0.3">
      <c r="B223"/>
    </row>
    <row r="224" spans="2:2" x14ac:dyDescent="0.3">
      <c r="B224"/>
    </row>
    <row r="225" spans="2:2" x14ac:dyDescent="0.3">
      <c r="B225"/>
    </row>
    <row r="226" spans="2:2" x14ac:dyDescent="0.3">
      <c r="B226"/>
    </row>
    <row r="227" spans="2:2" x14ac:dyDescent="0.3">
      <c r="B227"/>
    </row>
    <row r="228" spans="2:2" x14ac:dyDescent="0.3">
      <c r="B228"/>
    </row>
    <row r="229" spans="2:2" x14ac:dyDescent="0.3">
      <c r="B229"/>
    </row>
    <row r="230" spans="2:2" x14ac:dyDescent="0.3">
      <c r="B230"/>
    </row>
    <row r="231" spans="2:2" x14ac:dyDescent="0.3">
      <c r="B231"/>
    </row>
    <row r="232" spans="2:2" x14ac:dyDescent="0.3">
      <c r="B232"/>
    </row>
    <row r="233" spans="2:2" x14ac:dyDescent="0.3">
      <c r="B233"/>
    </row>
    <row r="234" spans="2:2" x14ac:dyDescent="0.3">
      <c r="B234"/>
    </row>
    <row r="235" spans="2:2" x14ac:dyDescent="0.3">
      <c r="B235"/>
    </row>
    <row r="236" spans="2:2" x14ac:dyDescent="0.3">
      <c r="B236"/>
    </row>
    <row r="237" spans="2:2" x14ac:dyDescent="0.3">
      <c r="B237"/>
    </row>
    <row r="238" spans="2:2" x14ac:dyDescent="0.3">
      <c r="B238"/>
    </row>
    <row r="239" spans="2:2" x14ac:dyDescent="0.3">
      <c r="B239"/>
    </row>
    <row r="240" spans="2:2" x14ac:dyDescent="0.3">
      <c r="B240"/>
    </row>
    <row r="241" spans="2:2" x14ac:dyDescent="0.3">
      <c r="B241"/>
    </row>
    <row r="242" spans="2:2" x14ac:dyDescent="0.3">
      <c r="B242"/>
    </row>
    <row r="243" spans="2:2" x14ac:dyDescent="0.3">
      <c r="B243"/>
    </row>
    <row r="244" spans="2:2" x14ac:dyDescent="0.3">
      <c r="B244"/>
    </row>
    <row r="245" spans="2:2" x14ac:dyDescent="0.3">
      <c r="B245"/>
    </row>
    <row r="246" spans="2:2" x14ac:dyDescent="0.3">
      <c r="B246"/>
    </row>
    <row r="247" spans="2:2" x14ac:dyDescent="0.3">
      <c r="B247"/>
    </row>
    <row r="248" spans="2:2" x14ac:dyDescent="0.3">
      <c r="B248"/>
    </row>
    <row r="249" spans="2:2" x14ac:dyDescent="0.3">
      <c r="B249"/>
    </row>
    <row r="250" spans="2:2" x14ac:dyDescent="0.3">
      <c r="B250"/>
    </row>
    <row r="251" spans="2:2" x14ac:dyDescent="0.3">
      <c r="B251"/>
    </row>
    <row r="252" spans="2:2" x14ac:dyDescent="0.3">
      <c r="B252"/>
    </row>
    <row r="253" spans="2:2" x14ac:dyDescent="0.3">
      <c r="B253"/>
    </row>
    <row r="254" spans="2:2" x14ac:dyDescent="0.3">
      <c r="B254"/>
    </row>
    <row r="255" spans="2:2" x14ac:dyDescent="0.3">
      <c r="B255"/>
    </row>
    <row r="256" spans="2:2" x14ac:dyDescent="0.3">
      <c r="B256"/>
    </row>
    <row r="257" spans="2:2" x14ac:dyDescent="0.3">
      <c r="B257"/>
    </row>
    <row r="258" spans="2:2" x14ac:dyDescent="0.3">
      <c r="B258"/>
    </row>
    <row r="259" spans="2:2" x14ac:dyDescent="0.3">
      <c r="B259"/>
    </row>
    <row r="260" spans="2:2" x14ac:dyDescent="0.3">
      <c r="B260"/>
    </row>
    <row r="261" spans="2:2" x14ac:dyDescent="0.3">
      <c r="B261"/>
    </row>
    <row r="262" spans="2:2" x14ac:dyDescent="0.3">
      <c r="B262"/>
    </row>
    <row r="263" spans="2:2" x14ac:dyDescent="0.3">
      <c r="B263"/>
    </row>
    <row r="264" spans="2:2" x14ac:dyDescent="0.3">
      <c r="B264"/>
    </row>
    <row r="265" spans="2:2" x14ac:dyDescent="0.3">
      <c r="B265"/>
    </row>
    <row r="266" spans="2:2" x14ac:dyDescent="0.3">
      <c r="B266"/>
    </row>
    <row r="267" spans="2:2" x14ac:dyDescent="0.3">
      <c r="B267"/>
    </row>
    <row r="268" spans="2:2" x14ac:dyDescent="0.3">
      <c r="B268"/>
    </row>
    <row r="269" spans="2:2" x14ac:dyDescent="0.3">
      <c r="B269"/>
    </row>
    <row r="270" spans="2:2" x14ac:dyDescent="0.3">
      <c r="B270"/>
    </row>
    <row r="271" spans="2:2" x14ac:dyDescent="0.3">
      <c r="B271"/>
    </row>
    <row r="272" spans="2:2" x14ac:dyDescent="0.3">
      <c r="B272"/>
    </row>
    <row r="273" spans="2:2" x14ac:dyDescent="0.3">
      <c r="B273"/>
    </row>
    <row r="274" spans="2:2" x14ac:dyDescent="0.3">
      <c r="B274"/>
    </row>
    <row r="275" spans="2:2" x14ac:dyDescent="0.3">
      <c r="B275"/>
    </row>
    <row r="276" spans="2:2" x14ac:dyDescent="0.3">
      <c r="B276"/>
    </row>
    <row r="277" spans="2:2" x14ac:dyDescent="0.3">
      <c r="B277"/>
    </row>
    <row r="278" spans="2:2" x14ac:dyDescent="0.3">
      <c r="B278"/>
    </row>
    <row r="279" spans="2:2" x14ac:dyDescent="0.3">
      <c r="B279"/>
    </row>
    <row r="280" spans="2:2" x14ac:dyDescent="0.3">
      <c r="B280"/>
    </row>
    <row r="281" spans="2:2" x14ac:dyDescent="0.3">
      <c r="B281"/>
    </row>
    <row r="282" spans="2:2" x14ac:dyDescent="0.3">
      <c r="B282"/>
    </row>
    <row r="283" spans="2:2" x14ac:dyDescent="0.3">
      <c r="B283"/>
    </row>
    <row r="284" spans="2:2" x14ac:dyDescent="0.3">
      <c r="B284"/>
    </row>
    <row r="285" spans="2:2" x14ac:dyDescent="0.3">
      <c r="B285"/>
    </row>
    <row r="286" spans="2:2" x14ac:dyDescent="0.3">
      <c r="B286"/>
    </row>
    <row r="287" spans="2:2" x14ac:dyDescent="0.3">
      <c r="B287"/>
    </row>
    <row r="288" spans="2:2" x14ac:dyDescent="0.3">
      <c r="B288"/>
    </row>
    <row r="289" spans="2:2" x14ac:dyDescent="0.3">
      <c r="B289"/>
    </row>
    <row r="290" spans="2:2" x14ac:dyDescent="0.3">
      <c r="B290"/>
    </row>
    <row r="291" spans="2:2" x14ac:dyDescent="0.3">
      <c r="B291"/>
    </row>
    <row r="292" spans="2:2" x14ac:dyDescent="0.3">
      <c r="B292"/>
    </row>
    <row r="293" spans="2:2" x14ac:dyDescent="0.3">
      <c r="B293"/>
    </row>
    <row r="294" spans="2:2" x14ac:dyDescent="0.3">
      <c r="B294"/>
    </row>
    <row r="295" spans="2:2" x14ac:dyDescent="0.3">
      <c r="B295"/>
    </row>
    <row r="296" spans="2:2" x14ac:dyDescent="0.3">
      <c r="B296"/>
    </row>
    <row r="297" spans="2:2" x14ac:dyDescent="0.3">
      <c r="B297"/>
    </row>
    <row r="298" spans="2:2" x14ac:dyDescent="0.3">
      <c r="B298"/>
    </row>
    <row r="299" spans="2:2" x14ac:dyDescent="0.3">
      <c r="B299"/>
    </row>
    <row r="300" spans="2:2" x14ac:dyDescent="0.3">
      <c r="B300"/>
    </row>
    <row r="301" spans="2:2" x14ac:dyDescent="0.3">
      <c r="B301"/>
    </row>
    <row r="302" spans="2:2" x14ac:dyDescent="0.3">
      <c r="B302"/>
    </row>
    <row r="303" spans="2:2" x14ac:dyDescent="0.3">
      <c r="B303"/>
    </row>
    <row r="304" spans="2:2" x14ac:dyDescent="0.3">
      <c r="B304"/>
    </row>
    <row r="305" spans="2:2" x14ac:dyDescent="0.3">
      <c r="B305"/>
    </row>
    <row r="306" spans="2:2" x14ac:dyDescent="0.3">
      <c r="B306"/>
    </row>
    <row r="307" spans="2:2" x14ac:dyDescent="0.3">
      <c r="B307"/>
    </row>
    <row r="308" spans="2:2" x14ac:dyDescent="0.3">
      <c r="B308"/>
    </row>
    <row r="309" spans="2:2" x14ac:dyDescent="0.3">
      <c r="B309"/>
    </row>
    <row r="310" spans="2:2" x14ac:dyDescent="0.3">
      <c r="B310"/>
    </row>
    <row r="311" spans="2:2" x14ac:dyDescent="0.3">
      <c r="B311"/>
    </row>
    <row r="312" spans="2:2" x14ac:dyDescent="0.3">
      <c r="B312"/>
    </row>
    <row r="313" spans="2:2" x14ac:dyDescent="0.3">
      <c r="B313"/>
    </row>
    <row r="314" spans="2:2" x14ac:dyDescent="0.3">
      <c r="B314"/>
    </row>
    <row r="315" spans="2:2" x14ac:dyDescent="0.3">
      <c r="B315"/>
    </row>
    <row r="316" spans="2:2" x14ac:dyDescent="0.3">
      <c r="B316"/>
    </row>
    <row r="317" spans="2:2" x14ac:dyDescent="0.3">
      <c r="B317"/>
    </row>
    <row r="318" spans="2:2" x14ac:dyDescent="0.3">
      <c r="B318"/>
    </row>
    <row r="319" spans="2:2" x14ac:dyDescent="0.3">
      <c r="B319"/>
    </row>
    <row r="320" spans="2:2" x14ac:dyDescent="0.3">
      <c r="B320"/>
    </row>
    <row r="321" spans="2:2" x14ac:dyDescent="0.3">
      <c r="B321"/>
    </row>
    <row r="322" spans="2:2" x14ac:dyDescent="0.3">
      <c r="B322"/>
    </row>
    <row r="323" spans="2:2" x14ac:dyDescent="0.3">
      <c r="B323"/>
    </row>
    <row r="324" spans="2:2" x14ac:dyDescent="0.3">
      <c r="B324"/>
    </row>
    <row r="325" spans="2:2" x14ac:dyDescent="0.3">
      <c r="B325"/>
    </row>
    <row r="326" spans="2:2" x14ac:dyDescent="0.3">
      <c r="B326"/>
    </row>
    <row r="327" spans="2:2" x14ac:dyDescent="0.3">
      <c r="B327"/>
    </row>
    <row r="328" spans="2:2" x14ac:dyDescent="0.3">
      <c r="B328"/>
    </row>
    <row r="329" spans="2:2" x14ac:dyDescent="0.3">
      <c r="B329"/>
    </row>
    <row r="330" spans="2:2" x14ac:dyDescent="0.3">
      <c r="B330"/>
    </row>
    <row r="331" spans="2:2" x14ac:dyDescent="0.3">
      <c r="B331"/>
    </row>
    <row r="332" spans="2:2" x14ac:dyDescent="0.3">
      <c r="B332"/>
    </row>
    <row r="333" spans="2:2" x14ac:dyDescent="0.3">
      <c r="B333"/>
    </row>
    <row r="334" spans="2:2" x14ac:dyDescent="0.3">
      <c r="B334"/>
    </row>
    <row r="335" spans="2:2" x14ac:dyDescent="0.3">
      <c r="B335"/>
    </row>
    <row r="336" spans="2:2" x14ac:dyDescent="0.3">
      <c r="B336"/>
    </row>
    <row r="337" spans="2:2" x14ac:dyDescent="0.3">
      <c r="B337"/>
    </row>
    <row r="338" spans="2:2" x14ac:dyDescent="0.3">
      <c r="B338"/>
    </row>
    <row r="339" spans="2:2" x14ac:dyDescent="0.3">
      <c r="B339"/>
    </row>
    <row r="340" spans="2:2" x14ac:dyDescent="0.3">
      <c r="B340"/>
    </row>
    <row r="341" spans="2:2" x14ac:dyDescent="0.3">
      <c r="B341"/>
    </row>
    <row r="342" spans="2:2" x14ac:dyDescent="0.3">
      <c r="B342"/>
    </row>
    <row r="343" spans="2:2" x14ac:dyDescent="0.3">
      <c r="B343"/>
    </row>
    <row r="344" spans="2:2" x14ac:dyDescent="0.3">
      <c r="B344"/>
    </row>
    <row r="345" spans="2:2" x14ac:dyDescent="0.3">
      <c r="B345"/>
    </row>
    <row r="346" spans="2:2" x14ac:dyDescent="0.3">
      <c r="B346"/>
    </row>
    <row r="347" spans="2:2" x14ac:dyDescent="0.3">
      <c r="B347"/>
    </row>
    <row r="348" spans="2:2" x14ac:dyDescent="0.3">
      <c r="B348"/>
    </row>
    <row r="349" spans="2:2" x14ac:dyDescent="0.3">
      <c r="B349"/>
    </row>
    <row r="350" spans="2:2" x14ac:dyDescent="0.3">
      <c r="B350"/>
    </row>
    <row r="351" spans="2:2" x14ac:dyDescent="0.3">
      <c r="B351"/>
    </row>
    <row r="352" spans="2:2" x14ac:dyDescent="0.3">
      <c r="B352"/>
    </row>
    <row r="353" spans="2:2" x14ac:dyDescent="0.3">
      <c r="B353"/>
    </row>
    <row r="354" spans="2:2" x14ac:dyDescent="0.3">
      <c r="B354"/>
    </row>
    <row r="355" spans="2:2" x14ac:dyDescent="0.3">
      <c r="B355"/>
    </row>
    <row r="356" spans="2:2" x14ac:dyDescent="0.3">
      <c r="B356"/>
    </row>
    <row r="357" spans="2:2" x14ac:dyDescent="0.3">
      <c r="B357"/>
    </row>
    <row r="358" spans="2:2" x14ac:dyDescent="0.3">
      <c r="B358"/>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C912D-02EC-4D36-8716-598D4845A2C1}">
  <dimension ref="A1:B356"/>
  <sheetViews>
    <sheetView workbookViewId="0">
      <selection activeCell="N3" sqref="N3"/>
    </sheetView>
  </sheetViews>
  <sheetFormatPr defaultRowHeight="14.4" x14ac:dyDescent="0.3"/>
  <cols>
    <col min="1" max="1" width="14.33203125" bestFit="1" customWidth="1"/>
    <col min="2" max="2" width="26" style="5" bestFit="1" customWidth="1"/>
  </cols>
  <sheetData>
    <row r="1" spans="1:2" x14ac:dyDescent="0.3">
      <c r="A1" s="2" t="s">
        <v>1320</v>
      </c>
      <c r="B1" s="5" t="s">
        <v>1335</v>
      </c>
    </row>
    <row r="2" spans="1:2" x14ac:dyDescent="0.3">
      <c r="A2" s="3" t="s">
        <v>1321</v>
      </c>
      <c r="B2" s="5">
        <v>888857</v>
      </c>
    </row>
    <row r="3" spans="1:2" x14ac:dyDescent="0.3">
      <c r="A3" s="4">
        <v>45658</v>
      </c>
      <c r="B3" s="5">
        <v>0</v>
      </c>
    </row>
    <row r="4" spans="1:2" x14ac:dyDescent="0.3">
      <c r="A4" s="4">
        <v>45659</v>
      </c>
      <c r="B4" s="5">
        <v>0</v>
      </c>
    </row>
    <row r="5" spans="1:2" x14ac:dyDescent="0.3">
      <c r="A5" s="4">
        <v>45660</v>
      </c>
      <c r="B5" s="5">
        <v>0</v>
      </c>
    </row>
    <row r="6" spans="1:2" x14ac:dyDescent="0.3">
      <c r="A6" s="4">
        <v>45662</v>
      </c>
      <c r="B6" s="5">
        <v>0</v>
      </c>
    </row>
    <row r="7" spans="1:2" x14ac:dyDescent="0.3">
      <c r="A7" s="4">
        <v>45663</v>
      </c>
      <c r="B7" s="5">
        <v>6027</v>
      </c>
    </row>
    <row r="8" spans="1:2" x14ac:dyDescent="0.3">
      <c r="A8" s="4">
        <v>45664</v>
      </c>
      <c r="B8" s="5">
        <v>31090</v>
      </c>
    </row>
    <row r="9" spans="1:2" x14ac:dyDescent="0.3">
      <c r="A9" s="4">
        <v>45665</v>
      </c>
      <c r="B9" s="5">
        <v>73643</v>
      </c>
    </row>
    <row r="10" spans="1:2" x14ac:dyDescent="0.3">
      <c r="A10" s="4">
        <v>45666</v>
      </c>
      <c r="B10" s="5">
        <v>70213</v>
      </c>
    </row>
    <row r="11" spans="1:2" x14ac:dyDescent="0.3">
      <c r="A11" s="4">
        <v>45667</v>
      </c>
      <c r="B11" s="5">
        <v>74796</v>
      </c>
    </row>
    <row r="12" spans="1:2" x14ac:dyDescent="0.3">
      <c r="A12" s="4">
        <v>45668</v>
      </c>
      <c r="B12" s="5">
        <v>10426</v>
      </c>
    </row>
    <row r="13" spans="1:2" x14ac:dyDescent="0.3">
      <c r="A13" s="4">
        <v>45669</v>
      </c>
      <c r="B13" s="5">
        <v>14364</v>
      </c>
    </row>
    <row r="14" spans="1:2" x14ac:dyDescent="0.3">
      <c r="A14" s="4">
        <v>45670</v>
      </c>
      <c r="B14" s="5">
        <v>67424</v>
      </c>
    </row>
    <row r="15" spans="1:2" x14ac:dyDescent="0.3">
      <c r="A15" s="4">
        <v>45671</v>
      </c>
      <c r="B15" s="5">
        <v>0</v>
      </c>
    </row>
    <row r="16" spans="1:2" x14ac:dyDescent="0.3">
      <c r="A16" s="4">
        <v>45672</v>
      </c>
      <c r="B16" s="5">
        <v>116086</v>
      </c>
    </row>
    <row r="17" spans="1:2" x14ac:dyDescent="0.3">
      <c r="A17" s="4">
        <v>45673</v>
      </c>
      <c r="B17" s="5">
        <v>0</v>
      </c>
    </row>
    <row r="18" spans="1:2" x14ac:dyDescent="0.3">
      <c r="A18" s="4">
        <v>45674</v>
      </c>
      <c r="B18" s="5">
        <v>0</v>
      </c>
    </row>
    <row r="19" spans="1:2" x14ac:dyDescent="0.3">
      <c r="A19" s="4">
        <v>45675</v>
      </c>
      <c r="B19" s="5">
        <v>0</v>
      </c>
    </row>
    <row r="20" spans="1:2" x14ac:dyDescent="0.3">
      <c r="A20" s="4">
        <v>45676</v>
      </c>
      <c r="B20" s="5">
        <v>12285</v>
      </c>
    </row>
    <row r="21" spans="1:2" x14ac:dyDescent="0.3">
      <c r="A21" s="4">
        <v>45677</v>
      </c>
      <c r="B21" s="5">
        <v>44490</v>
      </c>
    </row>
    <row r="22" spans="1:2" x14ac:dyDescent="0.3">
      <c r="A22" s="4">
        <v>45678</v>
      </c>
      <c r="B22" s="5">
        <v>94702</v>
      </c>
    </row>
    <row r="23" spans="1:2" x14ac:dyDescent="0.3">
      <c r="A23" s="4">
        <v>45679</v>
      </c>
      <c r="B23" s="5">
        <v>48202</v>
      </c>
    </row>
    <row r="24" spans="1:2" x14ac:dyDescent="0.3">
      <c r="A24" s="4">
        <v>45680</v>
      </c>
      <c r="B24" s="5">
        <v>0</v>
      </c>
    </row>
    <row r="25" spans="1:2" x14ac:dyDescent="0.3">
      <c r="A25" s="4">
        <v>45681</v>
      </c>
      <c r="B25" s="5">
        <v>25760</v>
      </c>
    </row>
    <row r="26" spans="1:2" x14ac:dyDescent="0.3">
      <c r="A26" s="4">
        <v>45682</v>
      </c>
      <c r="B26" s="5">
        <v>0</v>
      </c>
    </row>
    <row r="27" spans="1:2" x14ac:dyDescent="0.3">
      <c r="A27" s="4">
        <v>45683</v>
      </c>
      <c r="B27" s="5">
        <v>72748</v>
      </c>
    </row>
    <row r="28" spans="1:2" x14ac:dyDescent="0.3">
      <c r="A28" s="4">
        <v>45684</v>
      </c>
      <c r="B28" s="5">
        <v>0</v>
      </c>
    </row>
    <row r="29" spans="1:2" x14ac:dyDescent="0.3">
      <c r="A29" s="4">
        <v>45685</v>
      </c>
      <c r="B29" s="5">
        <v>0</v>
      </c>
    </row>
    <row r="30" spans="1:2" x14ac:dyDescent="0.3">
      <c r="A30" s="4">
        <v>45686</v>
      </c>
      <c r="B30" s="5">
        <v>0</v>
      </c>
    </row>
    <row r="31" spans="1:2" x14ac:dyDescent="0.3">
      <c r="A31" s="4">
        <v>45687</v>
      </c>
      <c r="B31" s="5">
        <v>79132</v>
      </c>
    </row>
    <row r="32" spans="1:2" x14ac:dyDescent="0.3">
      <c r="A32" s="4">
        <v>45688</v>
      </c>
      <c r="B32" s="5">
        <v>47469</v>
      </c>
    </row>
    <row r="33" spans="1:2" x14ac:dyDescent="0.3">
      <c r="A33" s="3" t="s">
        <v>1334</v>
      </c>
      <c r="B33" s="5">
        <v>888857</v>
      </c>
    </row>
    <row r="34" spans="1:2" x14ac:dyDescent="0.3">
      <c r="B34"/>
    </row>
    <row r="35" spans="1:2" x14ac:dyDescent="0.3">
      <c r="B35"/>
    </row>
    <row r="36" spans="1:2" x14ac:dyDescent="0.3">
      <c r="B36"/>
    </row>
    <row r="37" spans="1:2" x14ac:dyDescent="0.3">
      <c r="B37"/>
    </row>
    <row r="38" spans="1:2" x14ac:dyDescent="0.3">
      <c r="B38"/>
    </row>
    <row r="39" spans="1:2" x14ac:dyDescent="0.3">
      <c r="B39"/>
    </row>
    <row r="40" spans="1:2" x14ac:dyDescent="0.3">
      <c r="B40"/>
    </row>
    <row r="41" spans="1:2" x14ac:dyDescent="0.3">
      <c r="B41"/>
    </row>
    <row r="42" spans="1:2" x14ac:dyDescent="0.3">
      <c r="B42"/>
    </row>
    <row r="43" spans="1:2" x14ac:dyDescent="0.3">
      <c r="B43"/>
    </row>
    <row r="44" spans="1:2" x14ac:dyDescent="0.3">
      <c r="B44"/>
    </row>
    <row r="45" spans="1:2" x14ac:dyDescent="0.3">
      <c r="B45"/>
    </row>
    <row r="46" spans="1:2" x14ac:dyDescent="0.3">
      <c r="B46"/>
    </row>
    <row r="47" spans="1:2" x14ac:dyDescent="0.3">
      <c r="B47"/>
    </row>
    <row r="48" spans="1:2" x14ac:dyDescent="0.3">
      <c r="B48"/>
    </row>
    <row r="49" spans="2:2" x14ac:dyDescent="0.3">
      <c r="B49"/>
    </row>
    <row r="50" spans="2:2" x14ac:dyDescent="0.3">
      <c r="B50"/>
    </row>
    <row r="51" spans="2:2" x14ac:dyDescent="0.3">
      <c r="B51"/>
    </row>
    <row r="52" spans="2:2" x14ac:dyDescent="0.3">
      <c r="B52"/>
    </row>
    <row r="53" spans="2:2" x14ac:dyDescent="0.3">
      <c r="B53"/>
    </row>
    <row r="54" spans="2:2" x14ac:dyDescent="0.3">
      <c r="B54"/>
    </row>
    <row r="55" spans="2:2" x14ac:dyDescent="0.3">
      <c r="B55"/>
    </row>
    <row r="56" spans="2:2" x14ac:dyDescent="0.3">
      <c r="B56"/>
    </row>
    <row r="57" spans="2:2" x14ac:dyDescent="0.3">
      <c r="B57"/>
    </row>
    <row r="58" spans="2:2" x14ac:dyDescent="0.3">
      <c r="B58"/>
    </row>
    <row r="59" spans="2:2" x14ac:dyDescent="0.3">
      <c r="B59"/>
    </row>
    <row r="60" spans="2:2" x14ac:dyDescent="0.3">
      <c r="B60"/>
    </row>
    <row r="61" spans="2:2" x14ac:dyDescent="0.3">
      <c r="B61"/>
    </row>
    <row r="62" spans="2:2" x14ac:dyDescent="0.3">
      <c r="B62"/>
    </row>
    <row r="63" spans="2:2" x14ac:dyDescent="0.3">
      <c r="B63"/>
    </row>
    <row r="64" spans="2:2" x14ac:dyDescent="0.3">
      <c r="B64"/>
    </row>
    <row r="65" spans="2:2" x14ac:dyDescent="0.3">
      <c r="B65"/>
    </row>
    <row r="66" spans="2:2" x14ac:dyDescent="0.3">
      <c r="B66"/>
    </row>
    <row r="67" spans="2:2" x14ac:dyDescent="0.3">
      <c r="B67"/>
    </row>
    <row r="68" spans="2:2" x14ac:dyDescent="0.3">
      <c r="B68"/>
    </row>
    <row r="69" spans="2:2" x14ac:dyDescent="0.3">
      <c r="B69"/>
    </row>
    <row r="70" spans="2:2" x14ac:dyDescent="0.3">
      <c r="B70"/>
    </row>
    <row r="71" spans="2:2" x14ac:dyDescent="0.3">
      <c r="B71"/>
    </row>
    <row r="72" spans="2:2" x14ac:dyDescent="0.3">
      <c r="B72"/>
    </row>
    <row r="73" spans="2:2" x14ac:dyDescent="0.3">
      <c r="B73"/>
    </row>
    <row r="74" spans="2:2" x14ac:dyDescent="0.3">
      <c r="B74"/>
    </row>
    <row r="75" spans="2:2" x14ac:dyDescent="0.3">
      <c r="B75"/>
    </row>
    <row r="76" spans="2:2" x14ac:dyDescent="0.3">
      <c r="B76"/>
    </row>
    <row r="77" spans="2:2" x14ac:dyDescent="0.3">
      <c r="B77"/>
    </row>
    <row r="78" spans="2:2" x14ac:dyDescent="0.3">
      <c r="B78"/>
    </row>
    <row r="79" spans="2:2" x14ac:dyDescent="0.3">
      <c r="B79"/>
    </row>
    <row r="80" spans="2:2" x14ac:dyDescent="0.3">
      <c r="B80"/>
    </row>
    <row r="81" spans="2:2" x14ac:dyDescent="0.3">
      <c r="B81"/>
    </row>
    <row r="82" spans="2:2" x14ac:dyDescent="0.3">
      <c r="B82"/>
    </row>
    <row r="83" spans="2:2" x14ac:dyDescent="0.3">
      <c r="B83"/>
    </row>
    <row r="84" spans="2:2" x14ac:dyDescent="0.3">
      <c r="B84"/>
    </row>
    <row r="85" spans="2:2" x14ac:dyDescent="0.3">
      <c r="B85"/>
    </row>
    <row r="86" spans="2:2" x14ac:dyDescent="0.3">
      <c r="B86"/>
    </row>
    <row r="87" spans="2:2" x14ac:dyDescent="0.3">
      <c r="B87"/>
    </row>
    <row r="88" spans="2:2" x14ac:dyDescent="0.3">
      <c r="B88"/>
    </row>
    <row r="89" spans="2:2" x14ac:dyDescent="0.3">
      <c r="B89"/>
    </row>
    <row r="90" spans="2:2" x14ac:dyDescent="0.3">
      <c r="B90"/>
    </row>
    <row r="91" spans="2:2" x14ac:dyDescent="0.3">
      <c r="B91"/>
    </row>
    <row r="92" spans="2:2" x14ac:dyDescent="0.3">
      <c r="B92"/>
    </row>
    <row r="93" spans="2:2" x14ac:dyDescent="0.3">
      <c r="B93"/>
    </row>
    <row r="94" spans="2:2" x14ac:dyDescent="0.3">
      <c r="B94"/>
    </row>
    <row r="95" spans="2:2" x14ac:dyDescent="0.3">
      <c r="B95"/>
    </row>
    <row r="96" spans="2:2" x14ac:dyDescent="0.3">
      <c r="B96"/>
    </row>
    <row r="97" spans="2:2" x14ac:dyDescent="0.3">
      <c r="B97"/>
    </row>
    <row r="98" spans="2:2" x14ac:dyDescent="0.3">
      <c r="B98"/>
    </row>
    <row r="99" spans="2:2" x14ac:dyDescent="0.3">
      <c r="B99"/>
    </row>
    <row r="100" spans="2:2" x14ac:dyDescent="0.3">
      <c r="B100"/>
    </row>
    <row r="101" spans="2:2" x14ac:dyDescent="0.3">
      <c r="B101"/>
    </row>
    <row r="102" spans="2:2" x14ac:dyDescent="0.3">
      <c r="B102"/>
    </row>
    <row r="103" spans="2:2" x14ac:dyDescent="0.3">
      <c r="B103"/>
    </row>
    <row r="104" spans="2:2" x14ac:dyDescent="0.3">
      <c r="B104"/>
    </row>
    <row r="105" spans="2:2" x14ac:dyDescent="0.3">
      <c r="B105"/>
    </row>
    <row r="106" spans="2:2" x14ac:dyDescent="0.3">
      <c r="B106"/>
    </row>
    <row r="107" spans="2:2" x14ac:dyDescent="0.3">
      <c r="B107"/>
    </row>
    <row r="108" spans="2:2" x14ac:dyDescent="0.3">
      <c r="B108"/>
    </row>
    <row r="109" spans="2:2" x14ac:dyDescent="0.3">
      <c r="B109"/>
    </row>
    <row r="110" spans="2:2" x14ac:dyDescent="0.3">
      <c r="B110"/>
    </row>
    <row r="111" spans="2:2" x14ac:dyDescent="0.3">
      <c r="B111"/>
    </row>
    <row r="112" spans="2:2" x14ac:dyDescent="0.3">
      <c r="B112"/>
    </row>
    <row r="113" spans="2:2" x14ac:dyDescent="0.3">
      <c r="B113"/>
    </row>
    <row r="114" spans="2:2" x14ac:dyDescent="0.3">
      <c r="B114"/>
    </row>
    <row r="115" spans="2:2" x14ac:dyDescent="0.3">
      <c r="B115"/>
    </row>
    <row r="116" spans="2:2" x14ac:dyDescent="0.3">
      <c r="B116"/>
    </row>
    <row r="117" spans="2:2" x14ac:dyDescent="0.3">
      <c r="B117"/>
    </row>
    <row r="118" spans="2:2" x14ac:dyDescent="0.3">
      <c r="B118"/>
    </row>
    <row r="119" spans="2:2" x14ac:dyDescent="0.3">
      <c r="B119"/>
    </row>
    <row r="120" spans="2:2" x14ac:dyDescent="0.3">
      <c r="B120"/>
    </row>
    <row r="121" spans="2:2" x14ac:dyDescent="0.3">
      <c r="B121"/>
    </row>
    <row r="122" spans="2:2" x14ac:dyDescent="0.3">
      <c r="B122"/>
    </row>
    <row r="123" spans="2:2" x14ac:dyDescent="0.3">
      <c r="B123"/>
    </row>
    <row r="124" spans="2:2" x14ac:dyDescent="0.3">
      <c r="B124"/>
    </row>
    <row r="125" spans="2:2" x14ac:dyDescent="0.3">
      <c r="B125"/>
    </row>
    <row r="126" spans="2:2" x14ac:dyDescent="0.3">
      <c r="B126"/>
    </row>
    <row r="127" spans="2:2" x14ac:dyDescent="0.3">
      <c r="B127"/>
    </row>
    <row r="128" spans="2:2" x14ac:dyDescent="0.3">
      <c r="B128"/>
    </row>
    <row r="129" spans="2:2" x14ac:dyDescent="0.3">
      <c r="B129"/>
    </row>
    <row r="130" spans="2:2" x14ac:dyDescent="0.3">
      <c r="B130"/>
    </row>
    <row r="131" spans="2:2" x14ac:dyDescent="0.3">
      <c r="B131"/>
    </row>
    <row r="132" spans="2:2" x14ac:dyDescent="0.3">
      <c r="B132"/>
    </row>
    <row r="133" spans="2:2" x14ac:dyDescent="0.3">
      <c r="B133"/>
    </row>
    <row r="134" spans="2:2" x14ac:dyDescent="0.3">
      <c r="B134"/>
    </row>
    <row r="135" spans="2:2" x14ac:dyDescent="0.3">
      <c r="B135"/>
    </row>
    <row r="136" spans="2:2" x14ac:dyDescent="0.3">
      <c r="B136"/>
    </row>
    <row r="137" spans="2:2" x14ac:dyDescent="0.3">
      <c r="B137"/>
    </row>
    <row r="138" spans="2:2" x14ac:dyDescent="0.3">
      <c r="B138"/>
    </row>
    <row r="139" spans="2:2" x14ac:dyDescent="0.3">
      <c r="B139"/>
    </row>
    <row r="140" spans="2:2" x14ac:dyDescent="0.3">
      <c r="B140"/>
    </row>
    <row r="141" spans="2:2" x14ac:dyDescent="0.3">
      <c r="B141"/>
    </row>
    <row r="142" spans="2:2" x14ac:dyDescent="0.3">
      <c r="B142"/>
    </row>
    <row r="143" spans="2:2" x14ac:dyDescent="0.3">
      <c r="B143"/>
    </row>
    <row r="144" spans="2:2" x14ac:dyDescent="0.3">
      <c r="B144"/>
    </row>
    <row r="145" spans="2:2" x14ac:dyDescent="0.3">
      <c r="B145"/>
    </row>
    <row r="146" spans="2:2" x14ac:dyDescent="0.3">
      <c r="B146"/>
    </row>
    <row r="147" spans="2:2" x14ac:dyDescent="0.3">
      <c r="B147"/>
    </row>
    <row r="148" spans="2:2" x14ac:dyDescent="0.3">
      <c r="B148"/>
    </row>
    <row r="149" spans="2:2" x14ac:dyDescent="0.3">
      <c r="B149"/>
    </row>
    <row r="150" spans="2:2" x14ac:dyDescent="0.3">
      <c r="B150"/>
    </row>
    <row r="151" spans="2:2" x14ac:dyDescent="0.3">
      <c r="B151"/>
    </row>
    <row r="152" spans="2:2" x14ac:dyDescent="0.3">
      <c r="B152"/>
    </row>
    <row r="153" spans="2:2" x14ac:dyDescent="0.3">
      <c r="B153"/>
    </row>
    <row r="154" spans="2:2" x14ac:dyDescent="0.3">
      <c r="B154"/>
    </row>
    <row r="155" spans="2:2" x14ac:dyDescent="0.3">
      <c r="B155"/>
    </row>
    <row r="156" spans="2:2" x14ac:dyDescent="0.3">
      <c r="B156"/>
    </row>
    <row r="157" spans="2:2" x14ac:dyDescent="0.3">
      <c r="B157"/>
    </row>
    <row r="158" spans="2:2" x14ac:dyDescent="0.3">
      <c r="B158"/>
    </row>
    <row r="159" spans="2:2" x14ac:dyDescent="0.3">
      <c r="B159"/>
    </row>
    <row r="160" spans="2:2" x14ac:dyDescent="0.3">
      <c r="B160"/>
    </row>
    <row r="161" spans="2:2" x14ac:dyDescent="0.3">
      <c r="B161"/>
    </row>
    <row r="162" spans="2:2" x14ac:dyDescent="0.3">
      <c r="B162"/>
    </row>
    <row r="163" spans="2:2" x14ac:dyDescent="0.3">
      <c r="B163"/>
    </row>
    <row r="164" spans="2:2" x14ac:dyDescent="0.3">
      <c r="B164"/>
    </row>
    <row r="165" spans="2:2" x14ac:dyDescent="0.3">
      <c r="B165"/>
    </row>
    <row r="166" spans="2:2" x14ac:dyDescent="0.3">
      <c r="B166"/>
    </row>
    <row r="167" spans="2:2" x14ac:dyDescent="0.3">
      <c r="B167"/>
    </row>
    <row r="168" spans="2:2" x14ac:dyDescent="0.3">
      <c r="B168"/>
    </row>
    <row r="169" spans="2:2" x14ac:dyDescent="0.3">
      <c r="B169"/>
    </row>
    <row r="170" spans="2:2" x14ac:dyDescent="0.3">
      <c r="B170"/>
    </row>
    <row r="171" spans="2:2" x14ac:dyDescent="0.3">
      <c r="B171"/>
    </row>
    <row r="172" spans="2:2" x14ac:dyDescent="0.3">
      <c r="B172"/>
    </row>
    <row r="173" spans="2:2" x14ac:dyDescent="0.3">
      <c r="B173"/>
    </row>
    <row r="174" spans="2:2" x14ac:dyDescent="0.3">
      <c r="B174"/>
    </row>
    <row r="175" spans="2:2" x14ac:dyDescent="0.3">
      <c r="B175"/>
    </row>
    <row r="176" spans="2:2" x14ac:dyDescent="0.3">
      <c r="B176"/>
    </row>
    <row r="177" spans="2:2" x14ac:dyDescent="0.3">
      <c r="B177"/>
    </row>
    <row r="178" spans="2:2" x14ac:dyDescent="0.3">
      <c r="B178"/>
    </row>
    <row r="179" spans="2:2" x14ac:dyDescent="0.3">
      <c r="B179"/>
    </row>
    <row r="180" spans="2:2" x14ac:dyDescent="0.3">
      <c r="B180"/>
    </row>
    <row r="181" spans="2:2" x14ac:dyDescent="0.3">
      <c r="B181"/>
    </row>
    <row r="182" spans="2:2" x14ac:dyDescent="0.3">
      <c r="B182"/>
    </row>
    <row r="183" spans="2:2" x14ac:dyDescent="0.3">
      <c r="B183"/>
    </row>
    <row r="184" spans="2:2" x14ac:dyDescent="0.3">
      <c r="B184"/>
    </row>
    <row r="185" spans="2:2" x14ac:dyDescent="0.3">
      <c r="B185"/>
    </row>
    <row r="186" spans="2:2" x14ac:dyDescent="0.3">
      <c r="B186"/>
    </row>
    <row r="187" spans="2:2" x14ac:dyDescent="0.3">
      <c r="B187"/>
    </row>
    <row r="188" spans="2:2" x14ac:dyDescent="0.3">
      <c r="B188"/>
    </row>
    <row r="189" spans="2:2" x14ac:dyDescent="0.3">
      <c r="B189"/>
    </row>
    <row r="190" spans="2:2" x14ac:dyDescent="0.3">
      <c r="B190"/>
    </row>
    <row r="191" spans="2:2" x14ac:dyDescent="0.3">
      <c r="B191"/>
    </row>
    <row r="192" spans="2:2" x14ac:dyDescent="0.3">
      <c r="B192"/>
    </row>
    <row r="193" spans="2:2" x14ac:dyDescent="0.3">
      <c r="B193"/>
    </row>
    <row r="194" spans="2:2" x14ac:dyDescent="0.3">
      <c r="B194"/>
    </row>
    <row r="195" spans="2:2" x14ac:dyDescent="0.3">
      <c r="B195"/>
    </row>
    <row r="196" spans="2:2" x14ac:dyDescent="0.3">
      <c r="B196"/>
    </row>
    <row r="197" spans="2:2" x14ac:dyDescent="0.3">
      <c r="B197"/>
    </row>
    <row r="198" spans="2:2" x14ac:dyDescent="0.3">
      <c r="B198"/>
    </row>
    <row r="199" spans="2:2" x14ac:dyDescent="0.3">
      <c r="B199"/>
    </row>
    <row r="200" spans="2:2" x14ac:dyDescent="0.3">
      <c r="B200"/>
    </row>
    <row r="201" spans="2:2" x14ac:dyDescent="0.3">
      <c r="B201"/>
    </row>
    <row r="202" spans="2:2" x14ac:dyDescent="0.3">
      <c r="B202"/>
    </row>
    <row r="203" spans="2:2" x14ac:dyDescent="0.3">
      <c r="B203"/>
    </row>
    <row r="204" spans="2:2" x14ac:dyDescent="0.3">
      <c r="B204"/>
    </row>
    <row r="205" spans="2:2" x14ac:dyDescent="0.3">
      <c r="B205"/>
    </row>
    <row r="206" spans="2:2" x14ac:dyDescent="0.3">
      <c r="B206"/>
    </row>
    <row r="207" spans="2:2" x14ac:dyDescent="0.3">
      <c r="B207"/>
    </row>
    <row r="208" spans="2:2" x14ac:dyDescent="0.3">
      <c r="B208"/>
    </row>
    <row r="209" spans="2:2" x14ac:dyDescent="0.3">
      <c r="B209"/>
    </row>
    <row r="210" spans="2:2" x14ac:dyDescent="0.3">
      <c r="B210"/>
    </row>
    <row r="211" spans="2:2" x14ac:dyDescent="0.3">
      <c r="B211"/>
    </row>
    <row r="212" spans="2:2" x14ac:dyDescent="0.3">
      <c r="B212"/>
    </row>
    <row r="213" spans="2:2" x14ac:dyDescent="0.3">
      <c r="B213"/>
    </row>
    <row r="214" spans="2:2" x14ac:dyDescent="0.3">
      <c r="B214"/>
    </row>
    <row r="215" spans="2:2" x14ac:dyDescent="0.3">
      <c r="B215"/>
    </row>
    <row r="216" spans="2:2" x14ac:dyDescent="0.3">
      <c r="B216"/>
    </row>
    <row r="217" spans="2:2" x14ac:dyDescent="0.3">
      <c r="B217"/>
    </row>
    <row r="218" spans="2:2" x14ac:dyDescent="0.3">
      <c r="B218"/>
    </row>
    <row r="219" spans="2:2" x14ac:dyDescent="0.3">
      <c r="B219"/>
    </row>
    <row r="220" spans="2:2" x14ac:dyDescent="0.3">
      <c r="B220"/>
    </row>
    <row r="221" spans="2:2" x14ac:dyDescent="0.3">
      <c r="B221"/>
    </row>
    <row r="222" spans="2:2" x14ac:dyDescent="0.3">
      <c r="B222"/>
    </row>
    <row r="223" spans="2:2" x14ac:dyDescent="0.3">
      <c r="B223"/>
    </row>
    <row r="224" spans="2:2" x14ac:dyDescent="0.3">
      <c r="B224"/>
    </row>
    <row r="225" spans="2:2" x14ac:dyDescent="0.3">
      <c r="B225"/>
    </row>
    <row r="226" spans="2:2" x14ac:dyDescent="0.3">
      <c r="B226"/>
    </row>
    <row r="227" spans="2:2" x14ac:dyDescent="0.3">
      <c r="B227"/>
    </row>
    <row r="228" spans="2:2" x14ac:dyDescent="0.3">
      <c r="B228"/>
    </row>
    <row r="229" spans="2:2" x14ac:dyDescent="0.3">
      <c r="B229"/>
    </row>
    <row r="230" spans="2:2" x14ac:dyDescent="0.3">
      <c r="B230"/>
    </row>
    <row r="231" spans="2:2" x14ac:dyDescent="0.3">
      <c r="B231"/>
    </row>
    <row r="232" spans="2:2" x14ac:dyDescent="0.3">
      <c r="B232"/>
    </row>
    <row r="233" spans="2:2" x14ac:dyDescent="0.3">
      <c r="B233"/>
    </row>
    <row r="234" spans="2:2" x14ac:dyDescent="0.3">
      <c r="B234"/>
    </row>
    <row r="235" spans="2:2" x14ac:dyDescent="0.3">
      <c r="B235"/>
    </row>
    <row r="236" spans="2:2" x14ac:dyDescent="0.3">
      <c r="B236"/>
    </row>
    <row r="237" spans="2:2" x14ac:dyDescent="0.3">
      <c r="B237"/>
    </row>
    <row r="238" spans="2:2" x14ac:dyDescent="0.3">
      <c r="B238"/>
    </row>
    <row r="239" spans="2:2" x14ac:dyDescent="0.3">
      <c r="B239"/>
    </row>
    <row r="240" spans="2:2" x14ac:dyDescent="0.3">
      <c r="B240"/>
    </row>
    <row r="241" spans="2:2" x14ac:dyDescent="0.3">
      <c r="B241"/>
    </row>
    <row r="242" spans="2:2" x14ac:dyDescent="0.3">
      <c r="B242"/>
    </row>
    <row r="243" spans="2:2" x14ac:dyDescent="0.3">
      <c r="B243"/>
    </row>
    <row r="244" spans="2:2" x14ac:dyDescent="0.3">
      <c r="B244"/>
    </row>
    <row r="245" spans="2:2" x14ac:dyDescent="0.3">
      <c r="B245"/>
    </row>
    <row r="246" spans="2:2" x14ac:dyDescent="0.3">
      <c r="B246"/>
    </row>
    <row r="247" spans="2:2" x14ac:dyDescent="0.3">
      <c r="B247"/>
    </row>
    <row r="248" spans="2:2" x14ac:dyDescent="0.3">
      <c r="B248"/>
    </row>
    <row r="249" spans="2:2" x14ac:dyDescent="0.3">
      <c r="B249"/>
    </row>
    <row r="250" spans="2:2" x14ac:dyDescent="0.3">
      <c r="B250"/>
    </row>
    <row r="251" spans="2:2" x14ac:dyDescent="0.3">
      <c r="B251"/>
    </row>
    <row r="252" spans="2:2" x14ac:dyDescent="0.3">
      <c r="B252"/>
    </row>
    <row r="253" spans="2:2" x14ac:dyDescent="0.3">
      <c r="B253"/>
    </row>
    <row r="254" spans="2:2" x14ac:dyDescent="0.3">
      <c r="B254"/>
    </row>
    <row r="255" spans="2:2" x14ac:dyDescent="0.3">
      <c r="B255"/>
    </row>
    <row r="256" spans="2:2" x14ac:dyDescent="0.3">
      <c r="B256"/>
    </row>
    <row r="257" spans="2:2" x14ac:dyDescent="0.3">
      <c r="B257"/>
    </row>
    <row r="258" spans="2:2" x14ac:dyDescent="0.3">
      <c r="B258"/>
    </row>
    <row r="259" spans="2:2" x14ac:dyDescent="0.3">
      <c r="B259"/>
    </row>
    <row r="260" spans="2:2" x14ac:dyDescent="0.3">
      <c r="B260"/>
    </row>
    <row r="261" spans="2:2" x14ac:dyDescent="0.3">
      <c r="B261"/>
    </row>
    <row r="262" spans="2:2" x14ac:dyDescent="0.3">
      <c r="B262"/>
    </row>
    <row r="263" spans="2:2" x14ac:dyDescent="0.3">
      <c r="B263"/>
    </row>
    <row r="264" spans="2:2" x14ac:dyDescent="0.3">
      <c r="B264"/>
    </row>
    <row r="265" spans="2:2" x14ac:dyDescent="0.3">
      <c r="B265"/>
    </row>
    <row r="266" spans="2:2" x14ac:dyDescent="0.3">
      <c r="B266"/>
    </row>
    <row r="267" spans="2:2" x14ac:dyDescent="0.3">
      <c r="B267"/>
    </row>
    <row r="268" spans="2:2" x14ac:dyDescent="0.3">
      <c r="B268"/>
    </row>
    <row r="269" spans="2:2" x14ac:dyDescent="0.3">
      <c r="B269"/>
    </row>
    <row r="270" spans="2:2" x14ac:dyDescent="0.3">
      <c r="B270"/>
    </row>
    <row r="271" spans="2:2" x14ac:dyDescent="0.3">
      <c r="B271"/>
    </row>
    <row r="272" spans="2:2" x14ac:dyDescent="0.3">
      <c r="B272"/>
    </row>
    <row r="273" spans="2:2" x14ac:dyDescent="0.3">
      <c r="B273"/>
    </row>
    <row r="274" spans="2:2" x14ac:dyDescent="0.3">
      <c r="B274"/>
    </row>
    <row r="275" spans="2:2" x14ac:dyDescent="0.3">
      <c r="B275"/>
    </row>
    <row r="276" spans="2:2" x14ac:dyDescent="0.3">
      <c r="B276"/>
    </row>
    <row r="277" spans="2:2" x14ac:dyDescent="0.3">
      <c r="B277"/>
    </row>
    <row r="278" spans="2:2" x14ac:dyDescent="0.3">
      <c r="B278"/>
    </row>
    <row r="279" spans="2:2" x14ac:dyDescent="0.3">
      <c r="B279"/>
    </row>
    <row r="280" spans="2:2" x14ac:dyDescent="0.3">
      <c r="B280"/>
    </row>
    <row r="281" spans="2:2" x14ac:dyDescent="0.3">
      <c r="B281"/>
    </row>
    <row r="282" spans="2:2" x14ac:dyDescent="0.3">
      <c r="B282"/>
    </row>
    <row r="283" spans="2:2" x14ac:dyDescent="0.3">
      <c r="B283"/>
    </row>
    <row r="284" spans="2:2" x14ac:dyDescent="0.3">
      <c r="B284"/>
    </row>
    <row r="285" spans="2:2" x14ac:dyDescent="0.3">
      <c r="B285"/>
    </row>
    <row r="286" spans="2:2" x14ac:dyDescent="0.3">
      <c r="B286"/>
    </row>
    <row r="287" spans="2:2" x14ac:dyDescent="0.3">
      <c r="B287"/>
    </row>
    <row r="288" spans="2:2" x14ac:dyDescent="0.3">
      <c r="B288"/>
    </row>
    <row r="289" spans="2:2" x14ac:dyDescent="0.3">
      <c r="B289"/>
    </row>
    <row r="290" spans="2:2" x14ac:dyDescent="0.3">
      <c r="B290"/>
    </row>
    <row r="291" spans="2:2" x14ac:dyDescent="0.3">
      <c r="B291"/>
    </row>
    <row r="292" spans="2:2" x14ac:dyDescent="0.3">
      <c r="B292"/>
    </row>
    <row r="293" spans="2:2" x14ac:dyDescent="0.3">
      <c r="B293"/>
    </row>
    <row r="294" spans="2:2" x14ac:dyDescent="0.3">
      <c r="B294"/>
    </row>
    <row r="295" spans="2:2" x14ac:dyDescent="0.3">
      <c r="B295"/>
    </row>
    <row r="296" spans="2:2" x14ac:dyDescent="0.3">
      <c r="B296"/>
    </row>
    <row r="297" spans="2:2" x14ac:dyDescent="0.3">
      <c r="B297"/>
    </row>
    <row r="298" spans="2:2" x14ac:dyDescent="0.3">
      <c r="B298"/>
    </row>
    <row r="299" spans="2:2" x14ac:dyDescent="0.3">
      <c r="B299"/>
    </row>
    <row r="300" spans="2:2" x14ac:dyDescent="0.3">
      <c r="B300"/>
    </row>
    <row r="301" spans="2:2" x14ac:dyDescent="0.3">
      <c r="B301"/>
    </row>
    <row r="302" spans="2:2" x14ac:dyDescent="0.3">
      <c r="B302"/>
    </row>
    <row r="303" spans="2:2" x14ac:dyDescent="0.3">
      <c r="B303"/>
    </row>
    <row r="304" spans="2:2" x14ac:dyDescent="0.3">
      <c r="B304"/>
    </row>
    <row r="305" spans="2:2" x14ac:dyDescent="0.3">
      <c r="B305"/>
    </row>
    <row r="306" spans="2:2" x14ac:dyDescent="0.3">
      <c r="B306"/>
    </row>
    <row r="307" spans="2:2" x14ac:dyDescent="0.3">
      <c r="B307"/>
    </row>
    <row r="308" spans="2:2" x14ac:dyDescent="0.3">
      <c r="B308"/>
    </row>
    <row r="309" spans="2:2" x14ac:dyDescent="0.3">
      <c r="B309"/>
    </row>
    <row r="310" spans="2:2" x14ac:dyDescent="0.3">
      <c r="B310"/>
    </row>
    <row r="311" spans="2:2" x14ac:dyDescent="0.3">
      <c r="B311"/>
    </row>
    <row r="312" spans="2:2" x14ac:dyDescent="0.3">
      <c r="B312"/>
    </row>
    <row r="313" spans="2:2" x14ac:dyDescent="0.3">
      <c r="B313"/>
    </row>
    <row r="314" spans="2:2" x14ac:dyDescent="0.3">
      <c r="B314"/>
    </row>
    <row r="315" spans="2:2" x14ac:dyDescent="0.3">
      <c r="B315"/>
    </row>
    <row r="316" spans="2:2" x14ac:dyDescent="0.3">
      <c r="B316"/>
    </row>
    <row r="317" spans="2:2" x14ac:dyDescent="0.3">
      <c r="B317"/>
    </row>
    <row r="318" spans="2:2" x14ac:dyDescent="0.3">
      <c r="B318"/>
    </row>
    <row r="319" spans="2:2" x14ac:dyDescent="0.3">
      <c r="B319"/>
    </row>
    <row r="320" spans="2:2" x14ac:dyDescent="0.3">
      <c r="B320"/>
    </row>
    <row r="321" spans="2:2" x14ac:dyDescent="0.3">
      <c r="B321"/>
    </row>
    <row r="322" spans="2:2" x14ac:dyDescent="0.3">
      <c r="B322"/>
    </row>
    <row r="323" spans="2:2" x14ac:dyDescent="0.3">
      <c r="B323"/>
    </row>
    <row r="324" spans="2:2" x14ac:dyDescent="0.3">
      <c r="B324"/>
    </row>
    <row r="325" spans="2:2" x14ac:dyDescent="0.3">
      <c r="B325"/>
    </row>
    <row r="326" spans="2:2" x14ac:dyDescent="0.3">
      <c r="B326"/>
    </row>
    <row r="327" spans="2:2" x14ac:dyDescent="0.3">
      <c r="B327"/>
    </row>
    <row r="328" spans="2:2" x14ac:dyDescent="0.3">
      <c r="B328"/>
    </row>
    <row r="329" spans="2:2" x14ac:dyDescent="0.3">
      <c r="B329"/>
    </row>
    <row r="330" spans="2:2" x14ac:dyDescent="0.3">
      <c r="B330"/>
    </row>
    <row r="331" spans="2:2" x14ac:dyDescent="0.3">
      <c r="B331"/>
    </row>
    <row r="332" spans="2:2" x14ac:dyDescent="0.3">
      <c r="B332"/>
    </row>
    <row r="333" spans="2:2" x14ac:dyDescent="0.3">
      <c r="B333"/>
    </row>
    <row r="334" spans="2:2" x14ac:dyDescent="0.3">
      <c r="B334"/>
    </row>
    <row r="335" spans="2:2" x14ac:dyDescent="0.3">
      <c r="B335"/>
    </row>
    <row r="336" spans="2:2" x14ac:dyDescent="0.3">
      <c r="B336"/>
    </row>
    <row r="337" spans="2:2" x14ac:dyDescent="0.3">
      <c r="B337"/>
    </row>
    <row r="338" spans="2:2" x14ac:dyDescent="0.3">
      <c r="B338"/>
    </row>
    <row r="339" spans="2:2" x14ac:dyDescent="0.3">
      <c r="B339"/>
    </row>
    <row r="340" spans="2:2" x14ac:dyDescent="0.3">
      <c r="B340"/>
    </row>
    <row r="341" spans="2:2" x14ac:dyDescent="0.3">
      <c r="B341"/>
    </row>
    <row r="342" spans="2:2" x14ac:dyDescent="0.3">
      <c r="B342"/>
    </row>
    <row r="343" spans="2:2" x14ac:dyDescent="0.3">
      <c r="B343"/>
    </row>
    <row r="344" spans="2:2" x14ac:dyDescent="0.3">
      <c r="B344"/>
    </row>
    <row r="345" spans="2:2" x14ac:dyDescent="0.3">
      <c r="B345"/>
    </row>
    <row r="346" spans="2:2" x14ac:dyDescent="0.3">
      <c r="B346"/>
    </row>
    <row r="347" spans="2:2" x14ac:dyDescent="0.3">
      <c r="B347"/>
    </row>
    <row r="348" spans="2:2" x14ac:dyDescent="0.3">
      <c r="B348"/>
    </row>
    <row r="349" spans="2:2" x14ac:dyDescent="0.3">
      <c r="B349"/>
    </row>
    <row r="350" spans="2:2" x14ac:dyDescent="0.3">
      <c r="B350"/>
    </row>
    <row r="351" spans="2:2" x14ac:dyDescent="0.3">
      <c r="B351"/>
    </row>
    <row r="352" spans="2:2" x14ac:dyDescent="0.3">
      <c r="B352"/>
    </row>
    <row r="353" spans="2:2" x14ac:dyDescent="0.3">
      <c r="B353"/>
    </row>
    <row r="354" spans="2:2" x14ac:dyDescent="0.3">
      <c r="B354"/>
    </row>
    <row r="355" spans="2:2" x14ac:dyDescent="0.3">
      <c r="B355"/>
    </row>
    <row r="356" spans="2:2" x14ac:dyDescent="0.3">
      <c r="B356"/>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65683-0A82-4A4E-86C1-8ECE5F85ECD7}">
  <dimension ref="A3:B357"/>
  <sheetViews>
    <sheetView topLeftCell="A3" workbookViewId="0">
      <selection activeCell="N17" sqref="N17"/>
    </sheetView>
  </sheetViews>
  <sheetFormatPr defaultRowHeight="14.4" x14ac:dyDescent="0.3"/>
  <cols>
    <col min="1" max="1" width="14.33203125" bestFit="1" customWidth="1"/>
    <col min="2" max="2" width="22.5546875" style="5" bestFit="1" customWidth="1"/>
    <col min="3" max="3" width="6.44140625" bestFit="1" customWidth="1"/>
    <col min="4" max="4" width="12.5546875" bestFit="1" customWidth="1"/>
    <col min="5" max="5" width="21.44140625" bestFit="1" customWidth="1"/>
    <col min="6" max="6" width="6.44140625" bestFit="1" customWidth="1"/>
    <col min="7" max="7" width="7" bestFit="1" customWidth="1"/>
    <col min="8" max="8" width="6.44140625" bestFit="1" customWidth="1"/>
    <col min="9" max="9" width="7" bestFit="1" customWidth="1"/>
    <col min="10" max="10" width="6.44140625" bestFit="1" customWidth="1"/>
    <col min="11" max="11" width="7" bestFit="1" customWidth="1"/>
    <col min="12" max="12" width="8" bestFit="1" customWidth="1"/>
    <col min="13" max="15" width="6.44140625" bestFit="1" customWidth="1"/>
    <col min="16" max="16" width="7" bestFit="1" customWidth="1"/>
    <col min="17" max="18" width="6.44140625" bestFit="1" customWidth="1"/>
    <col min="19" max="20" width="7" bestFit="1" customWidth="1"/>
    <col min="21" max="23" width="6.44140625" bestFit="1" customWidth="1"/>
    <col min="24" max="24" width="7" bestFit="1" customWidth="1"/>
    <col min="25" max="26" width="6.44140625" bestFit="1" customWidth="1"/>
    <col min="27" max="27" width="7" bestFit="1" customWidth="1"/>
    <col min="28" max="31" width="6.44140625" bestFit="1" customWidth="1"/>
    <col min="32" max="32" width="7" bestFit="1" customWidth="1"/>
    <col min="33" max="37" width="6.6640625" bestFit="1" customWidth="1"/>
    <col min="38" max="38" width="7" bestFit="1" customWidth="1"/>
    <col min="39" max="58" width="6.6640625" bestFit="1" customWidth="1"/>
    <col min="59" max="88" width="7.109375" bestFit="1" customWidth="1"/>
    <col min="89" max="89" width="7" bestFit="1" customWidth="1"/>
    <col min="90" max="91" width="6.6640625" bestFit="1" customWidth="1"/>
    <col min="92" max="92" width="7" bestFit="1" customWidth="1"/>
    <col min="93" max="97" width="6.6640625" bestFit="1" customWidth="1"/>
    <col min="98" max="98" width="7" bestFit="1" customWidth="1"/>
    <col min="99" max="101" width="6.6640625" bestFit="1" customWidth="1"/>
    <col min="102" max="102" width="7" bestFit="1" customWidth="1"/>
    <col min="103" max="111" width="6.6640625" bestFit="1" customWidth="1"/>
    <col min="112" max="112" width="7" bestFit="1" customWidth="1"/>
    <col min="113" max="114" width="6.6640625" bestFit="1" customWidth="1"/>
    <col min="115" max="116" width="7" bestFit="1" customWidth="1"/>
    <col min="117" max="144" width="7.44140625" bestFit="1" customWidth="1"/>
    <col min="145" max="145" width="7" bestFit="1" customWidth="1"/>
    <col min="146" max="146" width="6.5546875" bestFit="1" customWidth="1"/>
    <col min="147" max="148" width="7" bestFit="1" customWidth="1"/>
    <col min="149" max="150" width="6.5546875" bestFit="1" customWidth="1"/>
    <col min="151" max="151" width="7" bestFit="1" customWidth="1"/>
    <col min="152" max="152" width="6.5546875" bestFit="1" customWidth="1"/>
    <col min="153" max="153" width="7" bestFit="1" customWidth="1"/>
    <col min="154" max="154" width="6.5546875" bestFit="1" customWidth="1"/>
    <col min="155" max="157" width="7" bestFit="1" customWidth="1"/>
    <col min="158" max="159" width="6.5546875" bestFit="1" customWidth="1"/>
    <col min="160" max="160" width="7" bestFit="1" customWidth="1"/>
    <col min="161" max="172" width="6.5546875" bestFit="1" customWidth="1"/>
    <col min="173" max="175" width="5.88671875" bestFit="1" customWidth="1"/>
    <col min="176" max="177" width="7" bestFit="1" customWidth="1"/>
    <col min="178" max="181" width="5.88671875" bestFit="1" customWidth="1"/>
    <col min="182" max="182" width="6" bestFit="1" customWidth="1"/>
    <col min="183" max="185" width="7" bestFit="1" customWidth="1"/>
    <col min="186" max="188" width="5.88671875" bestFit="1" customWidth="1"/>
    <col min="189" max="189" width="6" bestFit="1" customWidth="1"/>
    <col min="190" max="190" width="5.88671875" bestFit="1" customWidth="1"/>
    <col min="191" max="191" width="7" bestFit="1" customWidth="1"/>
    <col min="192" max="192" width="6" bestFit="1" customWidth="1"/>
    <col min="193" max="198" width="5.88671875" bestFit="1" customWidth="1"/>
    <col min="199" max="229" width="7" bestFit="1" customWidth="1"/>
    <col min="230" max="230" width="6.77734375" bestFit="1" customWidth="1"/>
    <col min="231" max="231" width="7" bestFit="1" customWidth="1"/>
    <col min="232" max="233" width="6.77734375" bestFit="1" customWidth="1"/>
    <col min="234" max="234" width="7" bestFit="1" customWidth="1"/>
    <col min="235" max="235" width="6.77734375" bestFit="1" customWidth="1"/>
    <col min="236" max="236" width="7" bestFit="1" customWidth="1"/>
    <col min="237" max="238" width="6.77734375" bestFit="1" customWidth="1"/>
    <col min="239" max="239" width="7" bestFit="1" customWidth="1"/>
    <col min="240" max="240" width="6.77734375" bestFit="1" customWidth="1"/>
    <col min="241" max="241" width="7" bestFit="1" customWidth="1"/>
    <col min="242" max="242" width="6.77734375" bestFit="1" customWidth="1"/>
    <col min="243" max="244" width="7" bestFit="1" customWidth="1"/>
    <col min="245" max="251" width="6.77734375" bestFit="1" customWidth="1"/>
    <col min="252" max="253" width="7" bestFit="1" customWidth="1"/>
    <col min="254" max="255" width="6.77734375" bestFit="1" customWidth="1"/>
    <col min="256" max="258" width="6.5546875" bestFit="1" customWidth="1"/>
    <col min="259" max="259" width="7" bestFit="1" customWidth="1"/>
    <col min="260" max="260" width="6.5546875" bestFit="1" customWidth="1"/>
    <col min="261" max="261" width="7" bestFit="1" customWidth="1"/>
    <col min="262" max="262" width="6.5546875" bestFit="1" customWidth="1"/>
    <col min="263" max="263" width="7" bestFit="1" customWidth="1"/>
    <col min="264" max="265" width="6.5546875" bestFit="1" customWidth="1"/>
    <col min="266" max="267" width="7" bestFit="1" customWidth="1"/>
    <col min="268" max="269" width="6.5546875" bestFit="1" customWidth="1"/>
    <col min="270" max="270" width="7" bestFit="1" customWidth="1"/>
    <col min="271" max="274" width="6.5546875" bestFit="1" customWidth="1"/>
    <col min="275" max="275" width="7" bestFit="1" customWidth="1"/>
    <col min="276" max="284" width="6.5546875" bestFit="1" customWidth="1"/>
    <col min="285" max="314" width="7.109375" bestFit="1" customWidth="1"/>
    <col min="315" max="315" width="6.77734375" bestFit="1" customWidth="1"/>
    <col min="316" max="316" width="7" bestFit="1" customWidth="1"/>
    <col min="317" max="321" width="6.77734375" bestFit="1" customWidth="1"/>
    <col min="322" max="322" width="7" bestFit="1" customWidth="1"/>
    <col min="323" max="323" width="6.77734375" bestFit="1" customWidth="1"/>
    <col min="324" max="324" width="7" bestFit="1" customWidth="1"/>
    <col min="325" max="326" width="6.77734375" bestFit="1" customWidth="1"/>
    <col min="327" max="327" width="7" bestFit="1" customWidth="1"/>
    <col min="328" max="328" width="6.77734375" bestFit="1" customWidth="1"/>
    <col min="329" max="329" width="7" bestFit="1" customWidth="1"/>
    <col min="330" max="343" width="6.77734375" bestFit="1" customWidth="1"/>
    <col min="344" max="344" width="10.77734375" bestFit="1" customWidth="1"/>
  </cols>
  <sheetData>
    <row r="3" spans="1:2" x14ac:dyDescent="0.3">
      <c r="A3" s="2" t="s">
        <v>1320</v>
      </c>
      <c r="B3" s="5" t="s">
        <v>1319</v>
      </c>
    </row>
    <row r="4" spans="1:2" x14ac:dyDescent="0.3">
      <c r="A4" s="3" t="s">
        <v>1321</v>
      </c>
      <c r="B4" s="5">
        <v>2117660</v>
      </c>
    </row>
    <row r="5" spans="1:2" x14ac:dyDescent="0.3">
      <c r="A5" s="4">
        <v>45658</v>
      </c>
      <c r="B5" s="5">
        <v>0</v>
      </c>
    </row>
    <row r="6" spans="1:2" x14ac:dyDescent="0.3">
      <c r="A6" s="4">
        <v>45659</v>
      </c>
      <c r="B6" s="5">
        <v>85332</v>
      </c>
    </row>
    <row r="7" spans="1:2" x14ac:dyDescent="0.3">
      <c r="A7" s="4">
        <v>45660</v>
      </c>
      <c r="B7" s="5">
        <v>0</v>
      </c>
    </row>
    <row r="8" spans="1:2" x14ac:dyDescent="0.3">
      <c r="A8" s="4">
        <v>45662</v>
      </c>
      <c r="B8" s="5">
        <v>128012</v>
      </c>
    </row>
    <row r="9" spans="1:2" x14ac:dyDescent="0.3">
      <c r="A9" s="4">
        <v>45663</v>
      </c>
      <c r="B9" s="5">
        <v>0</v>
      </c>
    </row>
    <row r="10" spans="1:2" x14ac:dyDescent="0.3">
      <c r="A10" s="4">
        <v>45664</v>
      </c>
      <c r="B10" s="5">
        <v>398062</v>
      </c>
    </row>
    <row r="11" spans="1:2" x14ac:dyDescent="0.3">
      <c r="A11" s="4">
        <v>45665</v>
      </c>
      <c r="B11" s="5">
        <v>93735</v>
      </c>
    </row>
    <row r="12" spans="1:2" x14ac:dyDescent="0.3">
      <c r="A12" s="4">
        <v>45666</v>
      </c>
      <c r="B12" s="5">
        <v>103754</v>
      </c>
    </row>
    <row r="13" spans="1:2" x14ac:dyDescent="0.3">
      <c r="A13" s="4">
        <v>45667</v>
      </c>
      <c r="B13" s="5">
        <v>0</v>
      </c>
    </row>
    <row r="14" spans="1:2" x14ac:dyDescent="0.3">
      <c r="A14" s="4">
        <v>45668</v>
      </c>
      <c r="B14" s="5">
        <v>181408</v>
      </c>
    </row>
    <row r="15" spans="1:2" x14ac:dyDescent="0.3">
      <c r="A15" s="4">
        <v>45669</v>
      </c>
      <c r="B15" s="5">
        <v>0</v>
      </c>
    </row>
    <row r="16" spans="1:2" x14ac:dyDescent="0.3">
      <c r="A16" s="4">
        <v>45670</v>
      </c>
      <c r="B16" s="5">
        <v>83713</v>
      </c>
    </row>
    <row r="17" spans="1:2" x14ac:dyDescent="0.3">
      <c r="A17" s="4">
        <v>45671</v>
      </c>
      <c r="B17" s="5">
        <v>0</v>
      </c>
    </row>
    <row r="18" spans="1:2" x14ac:dyDescent="0.3">
      <c r="A18" s="4">
        <v>45672</v>
      </c>
      <c r="B18" s="5">
        <v>0</v>
      </c>
    </row>
    <row r="19" spans="1:2" x14ac:dyDescent="0.3">
      <c r="A19" s="4">
        <v>45673</v>
      </c>
      <c r="B19" s="5">
        <v>160879</v>
      </c>
    </row>
    <row r="20" spans="1:2" x14ac:dyDescent="0.3">
      <c r="A20" s="4">
        <v>45674</v>
      </c>
      <c r="B20" s="5">
        <v>8353</v>
      </c>
    </row>
    <row r="21" spans="1:2" x14ac:dyDescent="0.3">
      <c r="A21" s="4">
        <v>45675</v>
      </c>
      <c r="B21" s="5">
        <v>15383</v>
      </c>
    </row>
    <row r="22" spans="1:2" x14ac:dyDescent="0.3">
      <c r="A22" s="4">
        <v>45676</v>
      </c>
      <c r="B22" s="5">
        <v>184378</v>
      </c>
    </row>
    <row r="23" spans="1:2" x14ac:dyDescent="0.3">
      <c r="A23" s="4">
        <v>45677</v>
      </c>
      <c r="B23" s="5">
        <v>196670</v>
      </c>
    </row>
    <row r="24" spans="1:2" x14ac:dyDescent="0.3">
      <c r="A24" s="4">
        <v>45678</v>
      </c>
      <c r="B24" s="5">
        <v>20316</v>
      </c>
    </row>
    <row r="25" spans="1:2" x14ac:dyDescent="0.3">
      <c r="A25" s="4">
        <v>45679</v>
      </c>
      <c r="B25" s="5">
        <v>0</v>
      </c>
    </row>
    <row r="26" spans="1:2" x14ac:dyDescent="0.3">
      <c r="A26" s="4">
        <v>45680</v>
      </c>
      <c r="B26" s="5">
        <v>0</v>
      </c>
    </row>
    <row r="27" spans="1:2" x14ac:dyDescent="0.3">
      <c r="A27" s="4">
        <v>45681</v>
      </c>
      <c r="B27" s="5">
        <v>148061</v>
      </c>
    </row>
    <row r="28" spans="1:2" x14ac:dyDescent="0.3">
      <c r="A28" s="4">
        <v>45682</v>
      </c>
      <c r="B28" s="5">
        <v>0</v>
      </c>
    </row>
    <row r="29" spans="1:2" x14ac:dyDescent="0.3">
      <c r="A29" s="4">
        <v>45683</v>
      </c>
      <c r="B29" s="5">
        <v>0</v>
      </c>
    </row>
    <row r="30" spans="1:2" x14ac:dyDescent="0.3">
      <c r="A30" s="4">
        <v>45684</v>
      </c>
      <c r="B30" s="5">
        <v>309604</v>
      </c>
    </row>
    <row r="31" spans="1:2" x14ac:dyDescent="0.3">
      <c r="A31" s="4">
        <v>45685</v>
      </c>
      <c r="B31" s="5">
        <v>0</v>
      </c>
    </row>
    <row r="32" spans="1:2" x14ac:dyDescent="0.3">
      <c r="A32" s="4">
        <v>45686</v>
      </c>
      <c r="B32" s="5">
        <v>0</v>
      </c>
    </row>
    <row r="33" spans="1:2" x14ac:dyDescent="0.3">
      <c r="A33" s="4">
        <v>45687</v>
      </c>
      <c r="B33" s="5">
        <v>0</v>
      </c>
    </row>
    <row r="34" spans="1:2" x14ac:dyDescent="0.3">
      <c r="A34" s="4">
        <v>45688</v>
      </c>
      <c r="B34" s="5">
        <v>0</v>
      </c>
    </row>
    <row r="35" spans="1:2" x14ac:dyDescent="0.3">
      <c r="B35"/>
    </row>
    <row r="36" spans="1:2" x14ac:dyDescent="0.3">
      <c r="B36"/>
    </row>
    <row r="37" spans="1:2" x14ac:dyDescent="0.3">
      <c r="B37"/>
    </row>
    <row r="38" spans="1:2" x14ac:dyDescent="0.3">
      <c r="B38"/>
    </row>
    <row r="39" spans="1:2" x14ac:dyDescent="0.3">
      <c r="B39"/>
    </row>
    <row r="40" spans="1:2" x14ac:dyDescent="0.3">
      <c r="B40"/>
    </row>
    <row r="41" spans="1:2" x14ac:dyDescent="0.3">
      <c r="B41"/>
    </row>
    <row r="42" spans="1:2" x14ac:dyDescent="0.3">
      <c r="B42"/>
    </row>
    <row r="43" spans="1:2" x14ac:dyDescent="0.3">
      <c r="B43"/>
    </row>
    <row r="44" spans="1:2" x14ac:dyDescent="0.3">
      <c r="B44"/>
    </row>
    <row r="45" spans="1:2" x14ac:dyDescent="0.3">
      <c r="B45"/>
    </row>
    <row r="46" spans="1:2" x14ac:dyDescent="0.3">
      <c r="B46"/>
    </row>
    <row r="47" spans="1:2" x14ac:dyDescent="0.3">
      <c r="B47"/>
    </row>
    <row r="48" spans="1:2" x14ac:dyDescent="0.3">
      <c r="B48"/>
    </row>
    <row r="49" spans="2:2" x14ac:dyDescent="0.3">
      <c r="B49"/>
    </row>
    <row r="50" spans="2:2" x14ac:dyDescent="0.3">
      <c r="B50"/>
    </row>
    <row r="51" spans="2:2" x14ac:dyDescent="0.3">
      <c r="B51"/>
    </row>
    <row r="52" spans="2:2" x14ac:dyDescent="0.3">
      <c r="B52"/>
    </row>
    <row r="53" spans="2:2" x14ac:dyDescent="0.3">
      <c r="B53"/>
    </row>
    <row r="54" spans="2:2" x14ac:dyDescent="0.3">
      <c r="B54"/>
    </row>
    <row r="55" spans="2:2" x14ac:dyDescent="0.3">
      <c r="B55"/>
    </row>
    <row r="56" spans="2:2" x14ac:dyDescent="0.3">
      <c r="B56"/>
    </row>
    <row r="57" spans="2:2" x14ac:dyDescent="0.3">
      <c r="B57"/>
    </row>
    <row r="58" spans="2:2" x14ac:dyDescent="0.3">
      <c r="B58"/>
    </row>
    <row r="59" spans="2:2" x14ac:dyDescent="0.3">
      <c r="B59"/>
    </row>
    <row r="60" spans="2:2" x14ac:dyDescent="0.3">
      <c r="B60"/>
    </row>
    <row r="61" spans="2:2" x14ac:dyDescent="0.3">
      <c r="B61"/>
    </row>
    <row r="62" spans="2:2" x14ac:dyDescent="0.3">
      <c r="B62"/>
    </row>
    <row r="63" spans="2:2" x14ac:dyDescent="0.3">
      <c r="B63"/>
    </row>
    <row r="64" spans="2:2" x14ac:dyDescent="0.3">
      <c r="B64"/>
    </row>
    <row r="65" spans="2:2" x14ac:dyDescent="0.3">
      <c r="B65"/>
    </row>
    <row r="66" spans="2:2" x14ac:dyDescent="0.3">
      <c r="B66"/>
    </row>
    <row r="67" spans="2:2" x14ac:dyDescent="0.3">
      <c r="B67"/>
    </row>
    <row r="68" spans="2:2" x14ac:dyDescent="0.3">
      <c r="B68"/>
    </row>
    <row r="69" spans="2:2" x14ac:dyDescent="0.3">
      <c r="B69"/>
    </row>
    <row r="70" spans="2:2" x14ac:dyDescent="0.3">
      <c r="B70"/>
    </row>
    <row r="71" spans="2:2" x14ac:dyDescent="0.3">
      <c r="B71"/>
    </row>
    <row r="72" spans="2:2" x14ac:dyDescent="0.3">
      <c r="B72"/>
    </row>
    <row r="73" spans="2:2" x14ac:dyDescent="0.3">
      <c r="B73"/>
    </row>
    <row r="74" spans="2:2" x14ac:dyDescent="0.3">
      <c r="B74"/>
    </row>
    <row r="75" spans="2:2" x14ac:dyDescent="0.3">
      <c r="B75"/>
    </row>
    <row r="76" spans="2:2" x14ac:dyDescent="0.3">
      <c r="B76"/>
    </row>
    <row r="77" spans="2:2" x14ac:dyDescent="0.3">
      <c r="B77"/>
    </row>
    <row r="78" spans="2:2" x14ac:dyDescent="0.3">
      <c r="B78"/>
    </row>
    <row r="79" spans="2:2" x14ac:dyDescent="0.3">
      <c r="B79"/>
    </row>
    <row r="80" spans="2:2" x14ac:dyDescent="0.3">
      <c r="B80"/>
    </row>
    <row r="81" spans="2:2" x14ac:dyDescent="0.3">
      <c r="B81"/>
    </row>
    <row r="82" spans="2:2" x14ac:dyDescent="0.3">
      <c r="B82"/>
    </row>
    <row r="83" spans="2:2" x14ac:dyDescent="0.3">
      <c r="B83"/>
    </row>
    <row r="84" spans="2:2" x14ac:dyDescent="0.3">
      <c r="B84"/>
    </row>
    <row r="85" spans="2:2" x14ac:dyDescent="0.3">
      <c r="B85"/>
    </row>
    <row r="86" spans="2:2" x14ac:dyDescent="0.3">
      <c r="B86"/>
    </row>
    <row r="87" spans="2:2" x14ac:dyDescent="0.3">
      <c r="B87"/>
    </row>
    <row r="88" spans="2:2" x14ac:dyDescent="0.3">
      <c r="B88"/>
    </row>
    <row r="89" spans="2:2" x14ac:dyDescent="0.3">
      <c r="B89"/>
    </row>
    <row r="90" spans="2:2" x14ac:dyDescent="0.3">
      <c r="B90"/>
    </row>
    <row r="91" spans="2:2" x14ac:dyDescent="0.3">
      <c r="B91"/>
    </row>
    <row r="92" spans="2:2" x14ac:dyDescent="0.3">
      <c r="B92"/>
    </row>
    <row r="93" spans="2:2" x14ac:dyDescent="0.3">
      <c r="B93"/>
    </row>
    <row r="94" spans="2:2" x14ac:dyDescent="0.3">
      <c r="B94"/>
    </row>
    <row r="95" spans="2:2" x14ac:dyDescent="0.3">
      <c r="B95"/>
    </row>
    <row r="96" spans="2:2" x14ac:dyDescent="0.3">
      <c r="B96"/>
    </row>
    <row r="97" spans="2:2" x14ac:dyDescent="0.3">
      <c r="B97"/>
    </row>
    <row r="98" spans="2:2" x14ac:dyDescent="0.3">
      <c r="B98"/>
    </row>
    <row r="99" spans="2:2" x14ac:dyDescent="0.3">
      <c r="B99"/>
    </row>
    <row r="100" spans="2:2" x14ac:dyDescent="0.3">
      <c r="B100"/>
    </row>
    <row r="101" spans="2:2" x14ac:dyDescent="0.3">
      <c r="B101"/>
    </row>
    <row r="102" spans="2:2" x14ac:dyDescent="0.3">
      <c r="B102"/>
    </row>
    <row r="103" spans="2:2" x14ac:dyDescent="0.3">
      <c r="B103"/>
    </row>
    <row r="104" spans="2:2" x14ac:dyDescent="0.3">
      <c r="B104"/>
    </row>
    <row r="105" spans="2:2" x14ac:dyDescent="0.3">
      <c r="B105"/>
    </row>
    <row r="106" spans="2:2" x14ac:dyDescent="0.3">
      <c r="B106"/>
    </row>
    <row r="107" spans="2:2" x14ac:dyDescent="0.3">
      <c r="B107"/>
    </row>
    <row r="108" spans="2:2" x14ac:dyDescent="0.3">
      <c r="B108"/>
    </row>
    <row r="109" spans="2:2" x14ac:dyDescent="0.3">
      <c r="B109"/>
    </row>
    <row r="110" spans="2:2" x14ac:dyDescent="0.3">
      <c r="B110"/>
    </row>
    <row r="111" spans="2:2" x14ac:dyDescent="0.3">
      <c r="B111"/>
    </row>
    <row r="112" spans="2:2" x14ac:dyDescent="0.3">
      <c r="B112"/>
    </row>
    <row r="113" spans="2:2" x14ac:dyDescent="0.3">
      <c r="B113"/>
    </row>
    <row r="114" spans="2:2" x14ac:dyDescent="0.3">
      <c r="B114"/>
    </row>
    <row r="115" spans="2:2" x14ac:dyDescent="0.3">
      <c r="B115"/>
    </row>
    <row r="116" spans="2:2" x14ac:dyDescent="0.3">
      <c r="B116"/>
    </row>
    <row r="117" spans="2:2" x14ac:dyDescent="0.3">
      <c r="B117"/>
    </row>
    <row r="118" spans="2:2" x14ac:dyDescent="0.3">
      <c r="B118"/>
    </row>
    <row r="119" spans="2:2" x14ac:dyDescent="0.3">
      <c r="B119"/>
    </row>
    <row r="120" spans="2:2" x14ac:dyDescent="0.3">
      <c r="B120"/>
    </row>
    <row r="121" spans="2:2" x14ac:dyDescent="0.3">
      <c r="B121"/>
    </row>
    <row r="122" spans="2:2" x14ac:dyDescent="0.3">
      <c r="B122"/>
    </row>
    <row r="123" spans="2:2" x14ac:dyDescent="0.3">
      <c r="B123"/>
    </row>
    <row r="124" spans="2:2" x14ac:dyDescent="0.3">
      <c r="B124"/>
    </row>
    <row r="125" spans="2:2" x14ac:dyDescent="0.3">
      <c r="B125"/>
    </row>
    <row r="126" spans="2:2" x14ac:dyDescent="0.3">
      <c r="B126"/>
    </row>
    <row r="127" spans="2:2" x14ac:dyDescent="0.3">
      <c r="B127"/>
    </row>
    <row r="128" spans="2:2" x14ac:dyDescent="0.3">
      <c r="B128"/>
    </row>
    <row r="129" spans="2:2" x14ac:dyDescent="0.3">
      <c r="B129"/>
    </row>
    <row r="130" spans="2:2" x14ac:dyDescent="0.3">
      <c r="B130"/>
    </row>
    <row r="131" spans="2:2" x14ac:dyDescent="0.3">
      <c r="B131"/>
    </row>
    <row r="132" spans="2:2" x14ac:dyDescent="0.3">
      <c r="B132"/>
    </row>
    <row r="133" spans="2:2" x14ac:dyDescent="0.3">
      <c r="B133"/>
    </row>
    <row r="134" spans="2:2" x14ac:dyDescent="0.3">
      <c r="B134"/>
    </row>
    <row r="135" spans="2:2" x14ac:dyDescent="0.3">
      <c r="B135"/>
    </row>
    <row r="136" spans="2:2" x14ac:dyDescent="0.3">
      <c r="B136"/>
    </row>
    <row r="137" spans="2:2" x14ac:dyDescent="0.3">
      <c r="B137"/>
    </row>
    <row r="138" spans="2:2" x14ac:dyDescent="0.3">
      <c r="B138"/>
    </row>
    <row r="139" spans="2:2" x14ac:dyDescent="0.3">
      <c r="B139"/>
    </row>
    <row r="140" spans="2:2" x14ac:dyDescent="0.3">
      <c r="B140"/>
    </row>
    <row r="141" spans="2:2" x14ac:dyDescent="0.3">
      <c r="B141"/>
    </row>
    <row r="142" spans="2:2" x14ac:dyDescent="0.3">
      <c r="B142"/>
    </row>
    <row r="143" spans="2:2" x14ac:dyDescent="0.3">
      <c r="B143"/>
    </row>
    <row r="144" spans="2:2" x14ac:dyDescent="0.3">
      <c r="B144"/>
    </row>
    <row r="145" spans="2:2" x14ac:dyDescent="0.3">
      <c r="B145"/>
    </row>
    <row r="146" spans="2:2" x14ac:dyDescent="0.3">
      <c r="B146"/>
    </row>
    <row r="147" spans="2:2" x14ac:dyDescent="0.3">
      <c r="B147"/>
    </row>
    <row r="148" spans="2:2" x14ac:dyDescent="0.3">
      <c r="B148"/>
    </row>
    <row r="149" spans="2:2" x14ac:dyDescent="0.3">
      <c r="B149"/>
    </row>
    <row r="150" spans="2:2" x14ac:dyDescent="0.3">
      <c r="B150"/>
    </row>
    <row r="151" spans="2:2" x14ac:dyDescent="0.3">
      <c r="B151"/>
    </row>
    <row r="152" spans="2:2" x14ac:dyDescent="0.3">
      <c r="B152"/>
    </row>
    <row r="153" spans="2:2" x14ac:dyDescent="0.3">
      <c r="B153"/>
    </row>
    <row r="154" spans="2:2" x14ac:dyDescent="0.3">
      <c r="B154"/>
    </row>
    <row r="155" spans="2:2" x14ac:dyDescent="0.3">
      <c r="B155"/>
    </row>
    <row r="156" spans="2:2" x14ac:dyDescent="0.3">
      <c r="B156"/>
    </row>
    <row r="157" spans="2:2" x14ac:dyDescent="0.3">
      <c r="B157"/>
    </row>
    <row r="158" spans="2:2" x14ac:dyDescent="0.3">
      <c r="B158"/>
    </row>
    <row r="159" spans="2:2" x14ac:dyDescent="0.3">
      <c r="B159"/>
    </row>
    <row r="160" spans="2:2" x14ac:dyDescent="0.3">
      <c r="B160"/>
    </row>
    <row r="161" spans="2:2" x14ac:dyDescent="0.3">
      <c r="B161"/>
    </row>
    <row r="162" spans="2:2" x14ac:dyDescent="0.3">
      <c r="B162"/>
    </row>
    <row r="163" spans="2:2" x14ac:dyDescent="0.3">
      <c r="B163"/>
    </row>
    <row r="164" spans="2:2" x14ac:dyDescent="0.3">
      <c r="B164"/>
    </row>
    <row r="165" spans="2:2" x14ac:dyDescent="0.3">
      <c r="B165"/>
    </row>
    <row r="166" spans="2:2" x14ac:dyDescent="0.3">
      <c r="B166"/>
    </row>
    <row r="167" spans="2:2" x14ac:dyDescent="0.3">
      <c r="B167"/>
    </row>
    <row r="168" spans="2:2" x14ac:dyDescent="0.3">
      <c r="B168"/>
    </row>
    <row r="169" spans="2:2" x14ac:dyDescent="0.3">
      <c r="B169"/>
    </row>
    <row r="170" spans="2:2" x14ac:dyDescent="0.3">
      <c r="B170"/>
    </row>
    <row r="171" spans="2:2" x14ac:dyDescent="0.3">
      <c r="B171"/>
    </row>
    <row r="172" spans="2:2" x14ac:dyDescent="0.3">
      <c r="B172"/>
    </row>
    <row r="173" spans="2:2" x14ac:dyDescent="0.3">
      <c r="B173"/>
    </row>
    <row r="174" spans="2:2" x14ac:dyDescent="0.3">
      <c r="B174"/>
    </row>
    <row r="175" spans="2:2" x14ac:dyDescent="0.3">
      <c r="B175"/>
    </row>
    <row r="176" spans="2:2" x14ac:dyDescent="0.3">
      <c r="B176"/>
    </row>
    <row r="177" spans="2:2" x14ac:dyDescent="0.3">
      <c r="B177"/>
    </row>
    <row r="178" spans="2:2" x14ac:dyDescent="0.3">
      <c r="B178"/>
    </row>
    <row r="179" spans="2:2" x14ac:dyDescent="0.3">
      <c r="B179"/>
    </row>
    <row r="180" spans="2:2" x14ac:dyDescent="0.3">
      <c r="B180"/>
    </row>
    <row r="181" spans="2:2" x14ac:dyDescent="0.3">
      <c r="B181"/>
    </row>
    <row r="182" spans="2:2" x14ac:dyDescent="0.3">
      <c r="B182"/>
    </row>
    <row r="183" spans="2:2" x14ac:dyDescent="0.3">
      <c r="B183"/>
    </row>
    <row r="184" spans="2:2" x14ac:dyDescent="0.3">
      <c r="B184"/>
    </row>
    <row r="185" spans="2:2" x14ac:dyDescent="0.3">
      <c r="B185"/>
    </row>
    <row r="186" spans="2:2" x14ac:dyDescent="0.3">
      <c r="B186"/>
    </row>
    <row r="187" spans="2:2" x14ac:dyDescent="0.3">
      <c r="B187"/>
    </row>
    <row r="188" spans="2:2" x14ac:dyDescent="0.3">
      <c r="B188"/>
    </row>
    <row r="189" spans="2:2" x14ac:dyDescent="0.3">
      <c r="B189"/>
    </row>
    <row r="190" spans="2:2" x14ac:dyDescent="0.3">
      <c r="B190"/>
    </row>
    <row r="191" spans="2:2" x14ac:dyDescent="0.3">
      <c r="B191"/>
    </row>
    <row r="192" spans="2:2" x14ac:dyDescent="0.3">
      <c r="B192"/>
    </row>
    <row r="193" spans="2:2" x14ac:dyDescent="0.3">
      <c r="B193"/>
    </row>
    <row r="194" spans="2:2" x14ac:dyDescent="0.3">
      <c r="B194"/>
    </row>
    <row r="195" spans="2:2" x14ac:dyDescent="0.3">
      <c r="B195"/>
    </row>
    <row r="196" spans="2:2" x14ac:dyDescent="0.3">
      <c r="B196"/>
    </row>
    <row r="197" spans="2:2" x14ac:dyDescent="0.3">
      <c r="B197"/>
    </row>
    <row r="198" spans="2:2" x14ac:dyDescent="0.3">
      <c r="B198"/>
    </row>
    <row r="199" spans="2:2" x14ac:dyDescent="0.3">
      <c r="B199"/>
    </row>
    <row r="200" spans="2:2" x14ac:dyDescent="0.3">
      <c r="B200"/>
    </row>
    <row r="201" spans="2:2" x14ac:dyDescent="0.3">
      <c r="B201"/>
    </row>
    <row r="202" spans="2:2" x14ac:dyDescent="0.3">
      <c r="B202"/>
    </row>
    <row r="203" spans="2:2" x14ac:dyDescent="0.3">
      <c r="B203"/>
    </row>
    <row r="204" spans="2:2" x14ac:dyDescent="0.3">
      <c r="B204"/>
    </row>
    <row r="205" spans="2:2" x14ac:dyDescent="0.3">
      <c r="B205"/>
    </row>
    <row r="206" spans="2:2" x14ac:dyDescent="0.3">
      <c r="B206"/>
    </row>
    <row r="207" spans="2:2" x14ac:dyDescent="0.3">
      <c r="B207"/>
    </row>
    <row r="208" spans="2:2" x14ac:dyDescent="0.3">
      <c r="B208"/>
    </row>
    <row r="209" spans="2:2" x14ac:dyDescent="0.3">
      <c r="B209"/>
    </row>
    <row r="210" spans="2:2" x14ac:dyDescent="0.3">
      <c r="B210"/>
    </row>
    <row r="211" spans="2:2" x14ac:dyDescent="0.3">
      <c r="B211"/>
    </row>
    <row r="212" spans="2:2" x14ac:dyDescent="0.3">
      <c r="B212"/>
    </row>
    <row r="213" spans="2:2" x14ac:dyDescent="0.3">
      <c r="B213"/>
    </row>
    <row r="214" spans="2:2" x14ac:dyDescent="0.3">
      <c r="B214"/>
    </row>
    <row r="215" spans="2:2" x14ac:dyDescent="0.3">
      <c r="B215"/>
    </row>
    <row r="216" spans="2:2" x14ac:dyDescent="0.3">
      <c r="B216"/>
    </row>
    <row r="217" spans="2:2" x14ac:dyDescent="0.3">
      <c r="B217"/>
    </row>
    <row r="218" spans="2:2" x14ac:dyDescent="0.3">
      <c r="B218"/>
    </row>
    <row r="219" spans="2:2" x14ac:dyDescent="0.3">
      <c r="B219"/>
    </row>
    <row r="220" spans="2:2" x14ac:dyDescent="0.3">
      <c r="B220"/>
    </row>
    <row r="221" spans="2:2" x14ac:dyDescent="0.3">
      <c r="B221"/>
    </row>
    <row r="222" spans="2:2" x14ac:dyDescent="0.3">
      <c r="B222"/>
    </row>
    <row r="223" spans="2:2" x14ac:dyDescent="0.3">
      <c r="B223"/>
    </row>
    <row r="224" spans="2:2" x14ac:dyDescent="0.3">
      <c r="B224"/>
    </row>
    <row r="225" spans="2:2" x14ac:dyDescent="0.3">
      <c r="B225"/>
    </row>
    <row r="226" spans="2:2" x14ac:dyDescent="0.3">
      <c r="B226"/>
    </row>
    <row r="227" spans="2:2" x14ac:dyDescent="0.3">
      <c r="B227"/>
    </row>
    <row r="228" spans="2:2" x14ac:dyDescent="0.3">
      <c r="B228"/>
    </row>
    <row r="229" spans="2:2" x14ac:dyDescent="0.3">
      <c r="B229"/>
    </row>
    <row r="230" spans="2:2" x14ac:dyDescent="0.3">
      <c r="B230"/>
    </row>
    <row r="231" spans="2:2" x14ac:dyDescent="0.3">
      <c r="B231"/>
    </row>
    <row r="232" spans="2:2" x14ac:dyDescent="0.3">
      <c r="B232"/>
    </row>
    <row r="233" spans="2:2" x14ac:dyDescent="0.3">
      <c r="B233"/>
    </row>
    <row r="234" spans="2:2" x14ac:dyDescent="0.3">
      <c r="B234"/>
    </row>
    <row r="235" spans="2:2" x14ac:dyDescent="0.3">
      <c r="B235"/>
    </row>
    <row r="236" spans="2:2" x14ac:dyDescent="0.3">
      <c r="B236"/>
    </row>
    <row r="237" spans="2:2" x14ac:dyDescent="0.3">
      <c r="B237"/>
    </row>
    <row r="238" spans="2:2" x14ac:dyDescent="0.3">
      <c r="B238"/>
    </row>
    <row r="239" spans="2:2" x14ac:dyDescent="0.3">
      <c r="B239"/>
    </row>
    <row r="240" spans="2:2" x14ac:dyDescent="0.3">
      <c r="B240"/>
    </row>
    <row r="241" spans="2:2" x14ac:dyDescent="0.3">
      <c r="B241"/>
    </row>
    <row r="242" spans="2:2" x14ac:dyDescent="0.3">
      <c r="B242"/>
    </row>
    <row r="243" spans="2:2" x14ac:dyDescent="0.3">
      <c r="B243"/>
    </row>
    <row r="244" spans="2:2" x14ac:dyDescent="0.3">
      <c r="B244"/>
    </row>
    <row r="245" spans="2:2" x14ac:dyDescent="0.3">
      <c r="B245"/>
    </row>
    <row r="246" spans="2:2" x14ac:dyDescent="0.3">
      <c r="B246"/>
    </row>
    <row r="247" spans="2:2" x14ac:dyDescent="0.3">
      <c r="B247"/>
    </row>
    <row r="248" spans="2:2" x14ac:dyDescent="0.3">
      <c r="B248"/>
    </row>
    <row r="249" spans="2:2" x14ac:dyDescent="0.3">
      <c r="B249"/>
    </row>
    <row r="250" spans="2:2" x14ac:dyDescent="0.3">
      <c r="B250"/>
    </row>
    <row r="251" spans="2:2" x14ac:dyDescent="0.3">
      <c r="B251"/>
    </row>
    <row r="252" spans="2:2" x14ac:dyDescent="0.3">
      <c r="B252"/>
    </row>
    <row r="253" spans="2:2" x14ac:dyDescent="0.3">
      <c r="B253"/>
    </row>
    <row r="254" spans="2:2" x14ac:dyDescent="0.3">
      <c r="B254"/>
    </row>
    <row r="255" spans="2:2" x14ac:dyDescent="0.3">
      <c r="B255"/>
    </row>
    <row r="256" spans="2:2" x14ac:dyDescent="0.3">
      <c r="B256"/>
    </row>
    <row r="257" spans="2:2" x14ac:dyDescent="0.3">
      <c r="B257"/>
    </row>
    <row r="258" spans="2:2" x14ac:dyDescent="0.3">
      <c r="B258"/>
    </row>
    <row r="259" spans="2:2" x14ac:dyDescent="0.3">
      <c r="B259"/>
    </row>
    <row r="260" spans="2:2" x14ac:dyDescent="0.3">
      <c r="B260"/>
    </row>
    <row r="261" spans="2:2" x14ac:dyDescent="0.3">
      <c r="B261"/>
    </row>
    <row r="262" spans="2:2" x14ac:dyDescent="0.3">
      <c r="B262"/>
    </row>
    <row r="263" spans="2:2" x14ac:dyDescent="0.3">
      <c r="B263"/>
    </row>
    <row r="264" spans="2:2" x14ac:dyDescent="0.3">
      <c r="B264"/>
    </row>
    <row r="265" spans="2:2" x14ac:dyDescent="0.3">
      <c r="B265"/>
    </row>
    <row r="266" spans="2:2" x14ac:dyDescent="0.3">
      <c r="B266"/>
    </row>
    <row r="267" spans="2:2" x14ac:dyDescent="0.3">
      <c r="B267"/>
    </row>
    <row r="268" spans="2:2" x14ac:dyDescent="0.3">
      <c r="B268"/>
    </row>
    <row r="269" spans="2:2" x14ac:dyDescent="0.3">
      <c r="B269"/>
    </row>
    <row r="270" spans="2:2" x14ac:dyDescent="0.3">
      <c r="B270"/>
    </row>
    <row r="271" spans="2:2" x14ac:dyDescent="0.3">
      <c r="B271"/>
    </row>
    <row r="272" spans="2:2" x14ac:dyDescent="0.3">
      <c r="B272"/>
    </row>
    <row r="273" spans="2:2" x14ac:dyDescent="0.3">
      <c r="B273"/>
    </row>
    <row r="274" spans="2:2" x14ac:dyDescent="0.3">
      <c r="B274"/>
    </row>
    <row r="275" spans="2:2" x14ac:dyDescent="0.3">
      <c r="B275"/>
    </row>
    <row r="276" spans="2:2" x14ac:dyDescent="0.3">
      <c r="B276"/>
    </row>
    <row r="277" spans="2:2" x14ac:dyDescent="0.3">
      <c r="B277"/>
    </row>
    <row r="278" spans="2:2" x14ac:dyDescent="0.3">
      <c r="B278"/>
    </row>
    <row r="279" spans="2:2" x14ac:dyDescent="0.3">
      <c r="B279"/>
    </row>
    <row r="280" spans="2:2" x14ac:dyDescent="0.3">
      <c r="B280"/>
    </row>
    <row r="281" spans="2:2" x14ac:dyDescent="0.3">
      <c r="B281"/>
    </row>
    <row r="282" spans="2:2" x14ac:dyDescent="0.3">
      <c r="B282"/>
    </row>
    <row r="283" spans="2:2" x14ac:dyDescent="0.3">
      <c r="B283"/>
    </row>
    <row r="284" spans="2:2" x14ac:dyDescent="0.3">
      <c r="B284"/>
    </row>
    <row r="285" spans="2:2" x14ac:dyDescent="0.3">
      <c r="B285"/>
    </row>
    <row r="286" spans="2:2" x14ac:dyDescent="0.3">
      <c r="B286"/>
    </row>
    <row r="287" spans="2:2" x14ac:dyDescent="0.3">
      <c r="B287"/>
    </row>
    <row r="288" spans="2:2" x14ac:dyDescent="0.3">
      <c r="B288"/>
    </row>
    <row r="289" spans="2:2" x14ac:dyDescent="0.3">
      <c r="B289"/>
    </row>
    <row r="290" spans="2:2" x14ac:dyDescent="0.3">
      <c r="B290"/>
    </row>
    <row r="291" spans="2:2" x14ac:dyDescent="0.3">
      <c r="B291"/>
    </row>
    <row r="292" spans="2:2" x14ac:dyDescent="0.3">
      <c r="B292"/>
    </row>
    <row r="293" spans="2:2" x14ac:dyDescent="0.3">
      <c r="B293"/>
    </row>
    <row r="294" spans="2:2" x14ac:dyDescent="0.3">
      <c r="B294"/>
    </row>
    <row r="295" spans="2:2" x14ac:dyDescent="0.3">
      <c r="B295"/>
    </row>
    <row r="296" spans="2:2" x14ac:dyDescent="0.3">
      <c r="B296"/>
    </row>
    <row r="297" spans="2:2" x14ac:dyDescent="0.3">
      <c r="B297"/>
    </row>
    <row r="298" spans="2:2" x14ac:dyDescent="0.3">
      <c r="B298"/>
    </row>
    <row r="299" spans="2:2" x14ac:dyDescent="0.3">
      <c r="B299"/>
    </row>
    <row r="300" spans="2:2" x14ac:dyDescent="0.3">
      <c r="B300"/>
    </row>
    <row r="301" spans="2:2" x14ac:dyDescent="0.3">
      <c r="B301"/>
    </row>
    <row r="302" spans="2:2" x14ac:dyDescent="0.3">
      <c r="B302"/>
    </row>
    <row r="303" spans="2:2" x14ac:dyDescent="0.3">
      <c r="B303"/>
    </row>
    <row r="304" spans="2:2" x14ac:dyDescent="0.3">
      <c r="B304"/>
    </row>
    <row r="305" spans="2:2" x14ac:dyDescent="0.3">
      <c r="B305"/>
    </row>
    <row r="306" spans="2:2" x14ac:dyDescent="0.3">
      <c r="B306"/>
    </row>
    <row r="307" spans="2:2" x14ac:dyDescent="0.3">
      <c r="B307"/>
    </row>
    <row r="308" spans="2:2" x14ac:dyDescent="0.3">
      <c r="B308"/>
    </row>
    <row r="309" spans="2:2" x14ac:dyDescent="0.3">
      <c r="B309"/>
    </row>
    <row r="310" spans="2:2" x14ac:dyDescent="0.3">
      <c r="B310"/>
    </row>
    <row r="311" spans="2:2" x14ac:dyDescent="0.3">
      <c r="B311"/>
    </row>
    <row r="312" spans="2:2" x14ac:dyDescent="0.3">
      <c r="B312"/>
    </row>
    <row r="313" spans="2:2" x14ac:dyDescent="0.3">
      <c r="B313"/>
    </row>
    <row r="314" spans="2:2" x14ac:dyDescent="0.3">
      <c r="B314"/>
    </row>
    <row r="315" spans="2:2" x14ac:dyDescent="0.3">
      <c r="B315"/>
    </row>
    <row r="316" spans="2:2" x14ac:dyDescent="0.3">
      <c r="B316"/>
    </row>
    <row r="317" spans="2:2" x14ac:dyDescent="0.3">
      <c r="B317"/>
    </row>
    <row r="318" spans="2:2" x14ac:dyDescent="0.3">
      <c r="B318"/>
    </row>
    <row r="319" spans="2:2" x14ac:dyDescent="0.3">
      <c r="B319"/>
    </row>
    <row r="320" spans="2:2" x14ac:dyDescent="0.3">
      <c r="B320"/>
    </row>
    <row r="321" spans="2:2" x14ac:dyDescent="0.3">
      <c r="B321"/>
    </row>
    <row r="322" spans="2:2" x14ac:dyDescent="0.3">
      <c r="B322"/>
    </row>
    <row r="323" spans="2:2" x14ac:dyDescent="0.3">
      <c r="B323"/>
    </row>
    <row r="324" spans="2:2" x14ac:dyDescent="0.3">
      <c r="B324"/>
    </row>
    <row r="325" spans="2:2" x14ac:dyDescent="0.3">
      <c r="B325"/>
    </row>
    <row r="326" spans="2:2" x14ac:dyDescent="0.3">
      <c r="B326"/>
    </row>
    <row r="327" spans="2:2" x14ac:dyDescent="0.3">
      <c r="B327"/>
    </row>
    <row r="328" spans="2:2" x14ac:dyDescent="0.3">
      <c r="B328"/>
    </row>
    <row r="329" spans="2:2" x14ac:dyDescent="0.3">
      <c r="B329"/>
    </row>
    <row r="330" spans="2:2" x14ac:dyDescent="0.3">
      <c r="B330"/>
    </row>
    <row r="331" spans="2:2" x14ac:dyDescent="0.3">
      <c r="B331"/>
    </row>
    <row r="332" spans="2:2" x14ac:dyDescent="0.3">
      <c r="B332"/>
    </row>
    <row r="333" spans="2:2" x14ac:dyDescent="0.3">
      <c r="B333"/>
    </row>
    <row r="334" spans="2:2" x14ac:dyDescent="0.3">
      <c r="B334"/>
    </row>
    <row r="335" spans="2:2" x14ac:dyDescent="0.3">
      <c r="B335"/>
    </row>
    <row r="336" spans="2:2" x14ac:dyDescent="0.3">
      <c r="B336"/>
    </row>
    <row r="337" spans="2:2" x14ac:dyDescent="0.3">
      <c r="B337"/>
    </row>
    <row r="338" spans="2:2" x14ac:dyDescent="0.3">
      <c r="B338"/>
    </row>
    <row r="339" spans="2:2" x14ac:dyDescent="0.3">
      <c r="B339"/>
    </row>
    <row r="340" spans="2:2" x14ac:dyDescent="0.3">
      <c r="B340"/>
    </row>
    <row r="341" spans="2:2" x14ac:dyDescent="0.3">
      <c r="B341"/>
    </row>
    <row r="342" spans="2:2" x14ac:dyDescent="0.3">
      <c r="B342"/>
    </row>
    <row r="343" spans="2:2" x14ac:dyDescent="0.3">
      <c r="B343"/>
    </row>
    <row r="344" spans="2:2" x14ac:dyDescent="0.3">
      <c r="B344"/>
    </row>
    <row r="345" spans="2:2" x14ac:dyDescent="0.3">
      <c r="B345"/>
    </row>
    <row r="346" spans="2:2" x14ac:dyDescent="0.3">
      <c r="B346"/>
    </row>
    <row r="347" spans="2:2" x14ac:dyDescent="0.3">
      <c r="B347"/>
    </row>
    <row r="348" spans="2:2" x14ac:dyDescent="0.3">
      <c r="B348"/>
    </row>
    <row r="349" spans="2:2" x14ac:dyDescent="0.3">
      <c r="B349"/>
    </row>
    <row r="350" spans="2:2" x14ac:dyDescent="0.3">
      <c r="B350"/>
    </row>
    <row r="351" spans="2:2" x14ac:dyDescent="0.3">
      <c r="B351"/>
    </row>
    <row r="352" spans="2:2" x14ac:dyDescent="0.3">
      <c r="B352"/>
    </row>
    <row r="353" spans="2:2" x14ac:dyDescent="0.3">
      <c r="B353"/>
    </row>
    <row r="354" spans="2:2" x14ac:dyDescent="0.3">
      <c r="B354"/>
    </row>
    <row r="355" spans="2:2" x14ac:dyDescent="0.3">
      <c r="B355"/>
    </row>
    <row r="356" spans="2:2" x14ac:dyDescent="0.3">
      <c r="B356"/>
    </row>
    <row r="357" spans="2:2" x14ac:dyDescent="0.3">
      <c r="B357"/>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367C7-7697-4FD6-8F21-B77AE47DF86A}">
  <sheetPr>
    <tabColor rgb="FF92D050"/>
    <pageSetUpPr autoPageBreaks="0"/>
  </sheetPr>
  <dimension ref="A1"/>
  <sheetViews>
    <sheetView showGridLines="0" showRowColHeaders="0" tabSelected="1" showWhiteSpace="0" zoomScale="170" zoomScaleNormal="170" workbookViewId="0">
      <selection activeCell="Q17" sqref="Q17"/>
    </sheetView>
  </sheetViews>
  <sheetFormatPr defaultRowHeight="14.4" x14ac:dyDescent="0.3"/>
  <cols>
    <col min="1" max="16384" width="8.88671875" style="6"/>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22257-E2FE-451B-BA34-7FE98E8042EB}">
  <dimension ref="A3:B11"/>
  <sheetViews>
    <sheetView workbookViewId="0">
      <selection activeCell="A6" sqref="A6"/>
    </sheetView>
  </sheetViews>
  <sheetFormatPr defaultRowHeight="14.4" x14ac:dyDescent="0.3"/>
  <cols>
    <col min="1" max="1" width="21.44140625" bestFit="1" customWidth="1"/>
    <col min="2" max="2" width="15.5546875" bestFit="1" customWidth="1"/>
    <col min="3" max="13" width="7" bestFit="1" customWidth="1"/>
    <col min="14" max="14" width="14.33203125" bestFit="1" customWidth="1"/>
    <col min="15" max="15" width="9.88671875" bestFit="1" customWidth="1"/>
    <col min="16" max="20" width="7" bestFit="1" customWidth="1"/>
    <col min="21" max="21" width="3.21875" bestFit="1" customWidth="1"/>
    <col min="22" max="26" width="7" bestFit="1" customWidth="1"/>
    <col min="27" max="27" width="12.5546875" bestFit="1" customWidth="1"/>
    <col min="28" max="28" width="7.21875" bestFit="1" customWidth="1"/>
    <col min="29" max="32" width="7" bestFit="1" customWidth="1"/>
    <col min="33" max="33" width="3.88671875" bestFit="1" customWidth="1"/>
    <col min="34" max="39" width="7" bestFit="1" customWidth="1"/>
    <col min="40" max="40" width="9.88671875" bestFit="1" customWidth="1"/>
    <col min="41" max="41" width="12.21875" bestFit="1" customWidth="1"/>
    <col min="42" max="42" width="6" bestFit="1" customWidth="1"/>
    <col min="43" max="43" width="7" bestFit="1" customWidth="1"/>
    <col min="44" max="44" width="6" bestFit="1" customWidth="1"/>
    <col min="45" max="47" width="7" bestFit="1" customWidth="1"/>
    <col min="48" max="48" width="6" bestFit="1" customWidth="1"/>
    <col min="49" max="52" width="7" bestFit="1" customWidth="1"/>
    <col min="53" max="53" width="15" bestFit="1" customWidth="1"/>
    <col min="54" max="54" width="10.109375" bestFit="1" customWidth="1"/>
    <col min="55" max="55" width="6" bestFit="1" customWidth="1"/>
    <col min="56" max="64" width="7" bestFit="1" customWidth="1"/>
    <col min="65" max="65" width="6" bestFit="1" customWidth="1"/>
    <col min="66" max="66" width="12.77734375" bestFit="1" customWidth="1"/>
    <col min="67" max="67" width="7.33203125" bestFit="1" customWidth="1"/>
    <col min="68" max="68" width="4" bestFit="1" customWidth="1"/>
    <col min="69" max="77" width="7" bestFit="1" customWidth="1"/>
    <col min="78" max="78" width="4.109375" bestFit="1" customWidth="1"/>
    <col min="79" max="79" width="10" bestFit="1" customWidth="1"/>
    <col min="80" max="80" width="11.21875" bestFit="1" customWidth="1"/>
    <col min="81" max="81" width="6" bestFit="1" customWidth="1"/>
    <col min="82" max="82" width="4.77734375" bestFit="1" customWidth="1"/>
    <col min="83" max="83" width="6" bestFit="1" customWidth="1"/>
    <col min="84" max="84" width="4.33203125" bestFit="1" customWidth="1"/>
    <col min="85" max="85" width="6" bestFit="1" customWidth="1"/>
    <col min="86" max="86" width="14" bestFit="1" customWidth="1"/>
  </cols>
  <sheetData>
    <row r="3" spans="1:2" x14ac:dyDescent="0.3">
      <c r="A3" s="2" t="s">
        <v>1319</v>
      </c>
      <c r="B3" s="2" t="s">
        <v>1337</v>
      </c>
    </row>
    <row r="4" spans="1:2" x14ac:dyDescent="0.3">
      <c r="A4" s="2" t="s">
        <v>1320</v>
      </c>
      <c r="B4" t="s">
        <v>1321</v>
      </c>
    </row>
    <row r="5" spans="1:2" x14ac:dyDescent="0.3">
      <c r="A5" s="3" t="s">
        <v>63</v>
      </c>
      <c r="B5">
        <v>51520</v>
      </c>
    </row>
    <row r="6" spans="1:2" x14ac:dyDescent="0.3">
      <c r="A6" s="3" t="s">
        <v>48</v>
      </c>
      <c r="B6">
        <v>548374</v>
      </c>
    </row>
    <row r="7" spans="1:2" x14ac:dyDescent="0.3">
      <c r="A7" s="3" t="s">
        <v>21</v>
      </c>
      <c r="B7">
        <v>93735</v>
      </c>
    </row>
    <row r="8" spans="1:2" x14ac:dyDescent="0.3">
      <c r="A8" s="3" t="s">
        <v>77</v>
      </c>
      <c r="B8">
        <v>794154</v>
      </c>
    </row>
    <row r="9" spans="1:2" x14ac:dyDescent="0.3">
      <c r="A9" s="3" t="s">
        <v>37</v>
      </c>
      <c r="B9">
        <v>529112</v>
      </c>
    </row>
    <row r="10" spans="1:2" x14ac:dyDescent="0.3">
      <c r="A10" s="3" t="s">
        <v>55</v>
      </c>
      <c r="B10">
        <v>100765</v>
      </c>
    </row>
    <row r="11" spans="1:2" x14ac:dyDescent="0.3">
      <c r="A11" s="3" t="s">
        <v>1338</v>
      </c>
      <c r="B11">
        <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5875D-2233-491D-A3FE-9061DC7E5131}">
  <dimension ref="A3:B9"/>
  <sheetViews>
    <sheetView workbookViewId="0">
      <selection activeCell="A9" sqref="A3:F16"/>
    </sheetView>
  </sheetViews>
  <sheetFormatPr defaultRowHeight="14.4" x14ac:dyDescent="0.3"/>
  <cols>
    <col min="1" max="1" width="21" bestFit="1" customWidth="1"/>
    <col min="2" max="2" width="15.5546875" bestFit="1" customWidth="1"/>
    <col min="3" max="3" width="4" bestFit="1" customWidth="1"/>
    <col min="4" max="4" width="4.44140625" bestFit="1" customWidth="1"/>
    <col min="5" max="5" width="4" bestFit="1" customWidth="1"/>
    <col min="6" max="6" width="4.77734375" bestFit="1" customWidth="1"/>
    <col min="7" max="7" width="3.88671875" bestFit="1" customWidth="1"/>
    <col min="8" max="8" width="3.21875" bestFit="1" customWidth="1"/>
    <col min="9" max="9" width="4.33203125" bestFit="1" customWidth="1"/>
    <col min="10" max="10" width="4.109375" bestFit="1" customWidth="1"/>
    <col min="11" max="11" width="3.88671875" bestFit="1" customWidth="1"/>
    <col min="12" max="12" width="4.44140625" bestFit="1" customWidth="1"/>
    <col min="13" max="13" width="4.109375" bestFit="1" customWidth="1"/>
    <col min="14" max="14" width="11.21875" bestFit="1" customWidth="1"/>
    <col min="15" max="15" width="9.109375" bestFit="1" customWidth="1"/>
    <col min="16" max="16" width="4" bestFit="1" customWidth="1"/>
    <col min="17" max="17" width="4.44140625" bestFit="1" customWidth="1"/>
    <col min="18" max="18" width="4" bestFit="1" customWidth="1"/>
    <col min="19" max="19" width="4.77734375" bestFit="1" customWidth="1"/>
    <col min="20" max="20" width="3.88671875" bestFit="1" customWidth="1"/>
    <col min="21" max="21" width="3.21875" bestFit="1" customWidth="1"/>
    <col min="22" max="22" width="4.33203125" bestFit="1" customWidth="1"/>
    <col min="23" max="23" width="4.109375" bestFit="1" customWidth="1"/>
    <col min="24" max="24" width="3.88671875" bestFit="1" customWidth="1"/>
    <col min="25" max="25" width="4.44140625" bestFit="1" customWidth="1"/>
    <col min="26" max="26" width="4.109375" bestFit="1" customWidth="1"/>
    <col min="27" max="27" width="11.77734375" bestFit="1" customWidth="1"/>
    <col min="28" max="28" width="11.21875" bestFit="1" customWidth="1"/>
    <col min="29" max="29" width="4" bestFit="1" customWidth="1"/>
    <col min="30" max="30" width="4.44140625" bestFit="1" customWidth="1"/>
    <col min="31" max="31" width="4" bestFit="1" customWidth="1"/>
    <col min="32" max="32" width="4.77734375" bestFit="1" customWidth="1"/>
    <col min="33" max="33" width="3.88671875" bestFit="1" customWidth="1"/>
    <col min="34" max="34" width="3.21875" bestFit="1" customWidth="1"/>
    <col min="35" max="35" width="4.33203125" bestFit="1" customWidth="1"/>
    <col min="36" max="36" width="4.109375" bestFit="1" customWidth="1"/>
    <col min="37" max="37" width="3.88671875" bestFit="1" customWidth="1"/>
    <col min="38" max="38" width="4.44140625" bestFit="1" customWidth="1"/>
    <col min="39" max="39" width="4.109375" bestFit="1" customWidth="1"/>
    <col min="40" max="40" width="14" bestFit="1" customWidth="1"/>
    <col min="41" max="41" width="6.44140625" bestFit="1" customWidth="1"/>
    <col min="42" max="42" width="4" bestFit="1" customWidth="1"/>
    <col min="43" max="43" width="4.44140625" bestFit="1" customWidth="1"/>
    <col min="44" max="44" width="4" bestFit="1" customWidth="1"/>
    <col min="45" max="45" width="4.77734375" bestFit="1" customWidth="1"/>
    <col min="46" max="46" width="3.88671875" bestFit="1" customWidth="1"/>
    <col min="47" max="47" width="3.21875" bestFit="1" customWidth="1"/>
    <col min="48" max="48" width="4.33203125" bestFit="1" customWidth="1"/>
    <col min="49" max="49" width="4.109375" bestFit="1" customWidth="1"/>
    <col min="50" max="50" width="3.88671875" bestFit="1" customWidth="1"/>
    <col min="51" max="51" width="4.44140625" bestFit="1" customWidth="1"/>
    <col min="52" max="52" width="4.109375" bestFit="1" customWidth="1"/>
    <col min="53" max="53" width="9.109375" bestFit="1" customWidth="1"/>
    <col min="54" max="54" width="9.88671875" bestFit="1" customWidth="1"/>
    <col min="55" max="55" width="4" bestFit="1" customWidth="1"/>
    <col min="56" max="56" width="4.44140625" bestFit="1" customWidth="1"/>
    <col min="57" max="57" width="4" bestFit="1" customWidth="1"/>
    <col min="58" max="58" width="4.77734375" bestFit="1" customWidth="1"/>
    <col min="59" max="59" width="3.88671875" bestFit="1" customWidth="1"/>
    <col min="60" max="60" width="3.21875" bestFit="1" customWidth="1"/>
    <col min="61" max="61" width="4.33203125" bestFit="1" customWidth="1"/>
    <col min="62" max="62" width="4.109375" bestFit="1" customWidth="1"/>
    <col min="63" max="63" width="3.88671875" bestFit="1" customWidth="1"/>
    <col min="64" max="64" width="4.44140625" bestFit="1" customWidth="1"/>
    <col min="65" max="65" width="4.109375" bestFit="1" customWidth="1"/>
    <col min="66" max="66" width="12.5546875" bestFit="1" customWidth="1"/>
  </cols>
  <sheetData>
    <row r="3" spans="1:2" x14ac:dyDescent="0.3">
      <c r="A3" s="2" t="s">
        <v>1339</v>
      </c>
      <c r="B3" s="2" t="s">
        <v>1337</v>
      </c>
    </row>
    <row r="4" spans="1:2" x14ac:dyDescent="0.3">
      <c r="A4" s="2" t="s">
        <v>1320</v>
      </c>
      <c r="B4" t="s">
        <v>1321</v>
      </c>
    </row>
    <row r="5" spans="1:2" x14ac:dyDescent="0.3">
      <c r="A5" s="3" t="s">
        <v>74</v>
      </c>
      <c r="B5">
        <v>7</v>
      </c>
    </row>
    <row r="6" spans="1:2" x14ac:dyDescent="0.3">
      <c r="A6" s="3" t="s">
        <v>71</v>
      </c>
      <c r="B6">
        <v>4</v>
      </c>
    </row>
    <row r="7" spans="1:2" x14ac:dyDescent="0.3">
      <c r="A7" s="3" t="s">
        <v>33</v>
      </c>
      <c r="B7">
        <v>18</v>
      </c>
    </row>
    <row r="8" spans="1:2" x14ac:dyDescent="0.3">
      <c r="A8" s="3" t="s">
        <v>27</v>
      </c>
      <c r="B8">
        <v>56</v>
      </c>
    </row>
    <row r="9" spans="1:2" x14ac:dyDescent="0.3">
      <c r="A9" s="3" t="s">
        <v>65</v>
      </c>
      <c r="B9">
        <v>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47F60-7ADD-4FD0-A746-7B6AFE5D7769}">
  <dimension ref="A3:B4"/>
  <sheetViews>
    <sheetView workbookViewId="0">
      <selection activeCell="A3" sqref="A3:B15"/>
    </sheetView>
  </sheetViews>
  <sheetFormatPr defaultRowHeight="14.4" x14ac:dyDescent="0.3"/>
  <cols>
    <col min="1" max="1" width="12.5546875" bestFit="1" customWidth="1"/>
    <col min="2" max="2" width="19.33203125" bestFit="1" customWidth="1"/>
  </cols>
  <sheetData>
    <row r="3" spans="1:2" x14ac:dyDescent="0.3">
      <c r="A3" s="2" t="s">
        <v>1320</v>
      </c>
      <c r="B3" t="s">
        <v>1340</v>
      </c>
    </row>
    <row r="4" spans="1:2" x14ac:dyDescent="0.3">
      <c r="A4" s="3" t="s">
        <v>1321</v>
      </c>
      <c r="B4">
        <v>93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E66A6-31EA-43B9-A7B7-70CEBCA3DE61}">
  <dimension ref="A3:B6"/>
  <sheetViews>
    <sheetView workbookViewId="0">
      <selection activeCell="A3" sqref="A3:M6"/>
    </sheetView>
  </sheetViews>
  <sheetFormatPr defaultRowHeight="14.4" x14ac:dyDescent="0.3"/>
  <cols>
    <col min="1" max="1" width="21.77734375" bestFit="1" customWidth="1"/>
    <col min="2" max="2" width="15.5546875" bestFit="1" customWidth="1"/>
    <col min="3" max="3" width="4" bestFit="1" customWidth="1"/>
    <col min="4" max="4" width="4.44140625" bestFit="1" customWidth="1"/>
    <col min="5" max="5" width="4" bestFit="1" customWidth="1"/>
    <col min="6" max="6" width="4.77734375" bestFit="1" customWidth="1"/>
    <col min="7" max="7" width="3.88671875" bestFit="1" customWidth="1"/>
    <col min="8" max="8" width="3.21875" bestFit="1" customWidth="1"/>
    <col min="9" max="9" width="4.33203125" bestFit="1" customWidth="1"/>
    <col min="10" max="10" width="4.109375" bestFit="1" customWidth="1"/>
    <col min="11" max="11" width="3.88671875" bestFit="1" customWidth="1"/>
    <col min="12" max="12" width="4.44140625" bestFit="1" customWidth="1"/>
    <col min="13" max="13" width="4.109375" bestFit="1" customWidth="1"/>
  </cols>
  <sheetData>
    <row r="3" spans="1:2" x14ac:dyDescent="0.3">
      <c r="A3" s="2" t="s">
        <v>1341</v>
      </c>
      <c r="B3" s="2" t="s">
        <v>1337</v>
      </c>
    </row>
    <row r="4" spans="1:2" x14ac:dyDescent="0.3">
      <c r="A4" s="2" t="s">
        <v>1320</v>
      </c>
      <c r="B4" t="s">
        <v>1321</v>
      </c>
    </row>
    <row r="5" spans="1:2" x14ac:dyDescent="0.3">
      <c r="A5" s="3" t="s">
        <v>49</v>
      </c>
      <c r="B5">
        <v>49</v>
      </c>
    </row>
    <row r="6" spans="1:2" x14ac:dyDescent="0.3">
      <c r="A6" s="3" t="s">
        <v>26</v>
      </c>
      <c r="B6">
        <v>44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043B3-8454-4970-A0E4-9629D8A73B95}">
  <dimension ref="A3:B16"/>
  <sheetViews>
    <sheetView workbookViewId="0">
      <selection activeCell="A3" sqref="A3:B15"/>
    </sheetView>
  </sheetViews>
  <sheetFormatPr defaultRowHeight="14.4" x14ac:dyDescent="0.3"/>
  <cols>
    <col min="1" max="1" width="12.5546875" bestFit="1" customWidth="1"/>
    <col min="2" max="2" width="23.21875" bestFit="1" customWidth="1"/>
  </cols>
  <sheetData>
    <row r="3" spans="1:2" x14ac:dyDescent="0.3">
      <c r="A3" s="2" t="s">
        <v>1320</v>
      </c>
      <c r="B3" t="s">
        <v>1342</v>
      </c>
    </row>
    <row r="4" spans="1:2" x14ac:dyDescent="0.3">
      <c r="A4" s="3" t="s">
        <v>1321</v>
      </c>
      <c r="B4">
        <v>93</v>
      </c>
    </row>
    <row r="5" spans="1:2" x14ac:dyDescent="0.3">
      <c r="A5" s="3" t="s">
        <v>1322</v>
      </c>
      <c r="B5">
        <v>76</v>
      </c>
    </row>
    <row r="6" spans="1:2" x14ac:dyDescent="0.3">
      <c r="A6" s="3" t="s">
        <v>1323</v>
      </c>
      <c r="B6">
        <v>84</v>
      </c>
    </row>
    <row r="7" spans="1:2" x14ac:dyDescent="0.3">
      <c r="A7" s="3" t="s">
        <v>1324</v>
      </c>
      <c r="B7">
        <v>80</v>
      </c>
    </row>
    <row r="8" spans="1:2" x14ac:dyDescent="0.3">
      <c r="A8" s="3" t="s">
        <v>1325</v>
      </c>
      <c r="B8">
        <v>77</v>
      </c>
    </row>
    <row r="9" spans="1:2" x14ac:dyDescent="0.3">
      <c r="A9" s="3" t="s">
        <v>1326</v>
      </c>
      <c r="B9">
        <v>75</v>
      </c>
    </row>
    <row r="10" spans="1:2" x14ac:dyDescent="0.3">
      <c r="A10" s="3" t="s">
        <v>1327</v>
      </c>
      <c r="B10">
        <v>88</v>
      </c>
    </row>
    <row r="11" spans="1:2" x14ac:dyDescent="0.3">
      <c r="A11" s="3" t="s">
        <v>1328</v>
      </c>
      <c r="B11">
        <v>90</v>
      </c>
    </row>
    <row r="12" spans="1:2" x14ac:dyDescent="0.3">
      <c r="A12" s="3" t="s">
        <v>1329</v>
      </c>
      <c r="B12">
        <v>83</v>
      </c>
    </row>
    <row r="13" spans="1:2" x14ac:dyDescent="0.3">
      <c r="A13" s="3" t="s">
        <v>1330</v>
      </c>
      <c r="B13">
        <v>74</v>
      </c>
    </row>
    <row r="14" spans="1:2" x14ac:dyDescent="0.3">
      <c r="A14" s="3" t="s">
        <v>1331</v>
      </c>
      <c r="B14">
        <v>89</v>
      </c>
    </row>
    <row r="15" spans="1:2" x14ac:dyDescent="0.3">
      <c r="A15" s="3" t="s">
        <v>1332</v>
      </c>
      <c r="B15">
        <v>70</v>
      </c>
    </row>
    <row r="16" spans="1:2" x14ac:dyDescent="0.3">
      <c r="A16" s="3" t="s">
        <v>1334</v>
      </c>
      <c r="B16">
        <v>979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T980"/>
  <sheetViews>
    <sheetView workbookViewId="0">
      <selection sqref="A1:T980"/>
    </sheetView>
  </sheetViews>
  <sheetFormatPr defaultRowHeight="14.4" x14ac:dyDescent="0.3"/>
  <cols>
    <col min="1" max="1" width="15" bestFit="1" customWidth="1"/>
    <col min="2" max="2" width="17.21875" bestFit="1" customWidth="1"/>
    <col min="3" max="3" width="8.6640625" bestFit="1" customWidth="1"/>
    <col min="4" max="4" width="13.33203125" bestFit="1" customWidth="1"/>
    <col min="5" max="5" width="9.77734375" bestFit="1" customWidth="1"/>
    <col min="6" max="6" width="11.44140625" bestFit="1" customWidth="1"/>
    <col min="7" max="7" width="14.21875" bestFit="1" customWidth="1"/>
    <col min="8" max="8" width="17.21875" bestFit="1" customWidth="1"/>
    <col min="9" max="9" width="16.44140625" bestFit="1" customWidth="1"/>
    <col min="10" max="10" width="19.77734375" bestFit="1" customWidth="1"/>
    <col min="11" max="11" width="14.109375" bestFit="1" customWidth="1"/>
    <col min="12" max="12" width="10.33203125" bestFit="1" customWidth="1"/>
    <col min="13" max="13" width="15.77734375" bestFit="1" customWidth="1"/>
    <col min="14" max="14" width="13.109375" bestFit="1" customWidth="1"/>
    <col min="15" max="15" width="14.5546875" bestFit="1" customWidth="1"/>
    <col min="16" max="16" width="17.5546875" bestFit="1" customWidth="1"/>
    <col min="17" max="18" width="15.44140625" bestFit="1" customWidth="1"/>
    <col min="19" max="19" width="12.6640625" bestFit="1" customWidth="1"/>
    <col min="20" max="20" width="21.109375" bestFit="1" customWidth="1"/>
  </cols>
  <sheetData>
    <row r="1" spans="1:20" x14ac:dyDescent="0.3">
      <c r="A1" t="s">
        <v>0</v>
      </c>
      <c r="B1" t="s">
        <v>1</v>
      </c>
      <c r="C1" t="s">
        <v>1333</v>
      </c>
      <c r="D1" t="s">
        <v>2</v>
      </c>
      <c r="E1" t="s">
        <v>3</v>
      </c>
      <c r="F1" t="s">
        <v>4</v>
      </c>
      <c r="G1" t="s">
        <v>5</v>
      </c>
      <c r="H1" t="s">
        <v>6</v>
      </c>
      <c r="I1" t="s">
        <v>7</v>
      </c>
      <c r="J1" t="s">
        <v>8</v>
      </c>
      <c r="K1" t="s">
        <v>9</v>
      </c>
      <c r="L1" t="s">
        <v>10</v>
      </c>
      <c r="M1" t="s">
        <v>11</v>
      </c>
      <c r="N1" t="s">
        <v>12</v>
      </c>
      <c r="O1" t="s">
        <v>13</v>
      </c>
      <c r="P1" t="s">
        <v>14</v>
      </c>
      <c r="Q1" t="s">
        <v>15</v>
      </c>
      <c r="R1" t="s">
        <v>16</v>
      </c>
      <c r="S1" t="s">
        <v>17</v>
      </c>
      <c r="T1" t="s">
        <v>18</v>
      </c>
    </row>
    <row r="2" spans="1:20" x14ac:dyDescent="0.3">
      <c r="A2" t="s">
        <v>19</v>
      </c>
      <c r="B2" s="1">
        <v>45663</v>
      </c>
      <c r="C2" s="1" t="s">
        <v>1321</v>
      </c>
      <c r="D2" t="s">
        <v>20</v>
      </c>
      <c r="E2" t="s">
        <v>21</v>
      </c>
      <c r="F2" t="s">
        <v>22</v>
      </c>
      <c r="G2" t="s">
        <v>23</v>
      </c>
      <c r="H2" t="s">
        <v>24</v>
      </c>
      <c r="I2">
        <v>0</v>
      </c>
      <c r="J2">
        <v>0</v>
      </c>
      <c r="K2">
        <v>0</v>
      </c>
      <c r="L2">
        <v>0</v>
      </c>
      <c r="M2">
        <v>2965.3</v>
      </c>
      <c r="N2">
        <v>840</v>
      </c>
      <c r="O2">
        <v>19</v>
      </c>
      <c r="P2" t="s">
        <v>25</v>
      </c>
      <c r="Q2">
        <v>210362</v>
      </c>
      <c r="R2" t="s">
        <v>26</v>
      </c>
      <c r="S2" t="s">
        <v>27</v>
      </c>
      <c r="T2" t="s">
        <v>28</v>
      </c>
    </row>
    <row r="3" spans="1:20" x14ac:dyDescent="0.3">
      <c r="A3" t="s">
        <v>29</v>
      </c>
      <c r="B3" s="1">
        <v>45829</v>
      </c>
      <c r="C3" s="1" t="s">
        <v>1326</v>
      </c>
      <c r="D3" t="s">
        <v>30</v>
      </c>
      <c r="E3" t="s">
        <v>21</v>
      </c>
      <c r="F3" t="s">
        <v>21</v>
      </c>
      <c r="G3" t="s">
        <v>23</v>
      </c>
      <c r="H3" t="s">
        <v>31</v>
      </c>
      <c r="I3">
        <v>0</v>
      </c>
      <c r="J3">
        <v>0</v>
      </c>
      <c r="K3">
        <v>1854773</v>
      </c>
      <c r="L3">
        <v>0</v>
      </c>
      <c r="M3">
        <v>0</v>
      </c>
      <c r="N3">
        <v>794</v>
      </c>
      <c r="O3">
        <v>22</v>
      </c>
      <c r="P3" t="s">
        <v>32</v>
      </c>
      <c r="Q3">
        <v>420654</v>
      </c>
      <c r="R3" t="s">
        <v>26</v>
      </c>
      <c r="S3" t="s">
        <v>33</v>
      </c>
      <c r="T3" t="s">
        <v>34</v>
      </c>
    </row>
    <row r="4" spans="1:20" x14ac:dyDescent="0.3">
      <c r="A4" t="s">
        <v>35</v>
      </c>
      <c r="B4" s="1">
        <v>45763</v>
      </c>
      <c r="C4" s="1" t="s">
        <v>1324</v>
      </c>
      <c r="D4" t="s">
        <v>36</v>
      </c>
      <c r="E4" t="s">
        <v>37</v>
      </c>
      <c r="F4" t="s">
        <v>38</v>
      </c>
      <c r="G4" t="s">
        <v>39</v>
      </c>
      <c r="H4" t="s">
        <v>40</v>
      </c>
      <c r="I4">
        <v>0</v>
      </c>
      <c r="J4">
        <v>24815</v>
      </c>
      <c r="K4">
        <v>0</v>
      </c>
      <c r="L4">
        <v>0</v>
      </c>
      <c r="M4">
        <v>0</v>
      </c>
      <c r="N4">
        <v>305</v>
      </c>
      <c r="O4">
        <v>48</v>
      </c>
      <c r="P4" t="s">
        <v>25</v>
      </c>
      <c r="Q4">
        <v>1560154</v>
      </c>
      <c r="R4" t="s">
        <v>26</v>
      </c>
      <c r="S4" t="s">
        <v>27</v>
      </c>
      <c r="T4" t="s">
        <v>41</v>
      </c>
    </row>
    <row r="5" spans="1:20" x14ac:dyDescent="0.3">
      <c r="A5" t="s">
        <v>42</v>
      </c>
      <c r="B5" s="1">
        <v>45691</v>
      </c>
      <c r="C5" s="1" t="s">
        <v>1322</v>
      </c>
      <c r="D5" t="s">
        <v>43</v>
      </c>
      <c r="E5" t="s">
        <v>37</v>
      </c>
      <c r="F5" t="s">
        <v>44</v>
      </c>
      <c r="G5" t="s">
        <v>23</v>
      </c>
      <c r="H5" t="s">
        <v>24</v>
      </c>
      <c r="I5">
        <v>0</v>
      </c>
      <c r="J5">
        <v>0</v>
      </c>
      <c r="K5">
        <v>0</v>
      </c>
      <c r="L5">
        <v>0</v>
      </c>
      <c r="M5">
        <v>2361.4</v>
      </c>
      <c r="N5">
        <v>715</v>
      </c>
      <c r="O5">
        <v>39</v>
      </c>
      <c r="P5" t="s">
        <v>32</v>
      </c>
      <c r="Q5">
        <v>1488185</v>
      </c>
      <c r="R5" t="s">
        <v>26</v>
      </c>
      <c r="S5" t="s">
        <v>27</v>
      </c>
      <c r="T5" t="s">
        <v>45</v>
      </c>
    </row>
    <row r="6" spans="1:20" x14ac:dyDescent="0.3">
      <c r="A6" t="s">
        <v>46</v>
      </c>
      <c r="B6" s="1">
        <v>45816</v>
      </c>
      <c r="C6" s="1" t="s">
        <v>1326</v>
      </c>
      <c r="D6" t="s">
        <v>47</v>
      </c>
      <c r="E6" t="s">
        <v>48</v>
      </c>
      <c r="F6" t="s">
        <v>22</v>
      </c>
      <c r="G6" t="s">
        <v>23</v>
      </c>
      <c r="H6" t="s">
        <v>24</v>
      </c>
      <c r="I6">
        <v>0</v>
      </c>
      <c r="J6">
        <v>0</v>
      </c>
      <c r="K6">
        <v>0</v>
      </c>
      <c r="L6">
        <v>0</v>
      </c>
      <c r="M6">
        <v>9481.48</v>
      </c>
      <c r="N6">
        <v>492</v>
      </c>
      <c r="O6">
        <v>20</v>
      </c>
      <c r="P6" t="s">
        <v>32</v>
      </c>
      <c r="Q6">
        <v>664321</v>
      </c>
      <c r="R6" t="s">
        <v>49</v>
      </c>
      <c r="S6" t="s">
        <v>27</v>
      </c>
      <c r="T6" t="s">
        <v>41</v>
      </c>
    </row>
    <row r="7" spans="1:20" x14ac:dyDescent="0.3">
      <c r="A7" t="s">
        <v>50</v>
      </c>
      <c r="B7" s="1">
        <v>45895</v>
      </c>
      <c r="C7" s="1" t="s">
        <v>1328</v>
      </c>
      <c r="D7" t="s">
        <v>51</v>
      </c>
      <c r="E7" t="s">
        <v>21</v>
      </c>
      <c r="F7" t="s">
        <v>44</v>
      </c>
      <c r="G7" t="s">
        <v>39</v>
      </c>
      <c r="H7" t="s">
        <v>52</v>
      </c>
      <c r="I7">
        <v>0</v>
      </c>
      <c r="J7">
        <v>0</v>
      </c>
      <c r="K7">
        <v>0</v>
      </c>
      <c r="L7">
        <v>49524</v>
      </c>
      <c r="M7">
        <v>0</v>
      </c>
      <c r="N7">
        <v>622</v>
      </c>
      <c r="O7">
        <v>66</v>
      </c>
      <c r="P7" t="s">
        <v>32</v>
      </c>
      <c r="Q7">
        <v>1249027</v>
      </c>
      <c r="R7" t="s">
        <v>49</v>
      </c>
      <c r="S7" t="s">
        <v>33</v>
      </c>
      <c r="T7" t="s">
        <v>34</v>
      </c>
    </row>
    <row r="8" spans="1:20" x14ac:dyDescent="0.3">
      <c r="A8" t="s">
        <v>53</v>
      </c>
      <c r="B8" s="1">
        <v>45973</v>
      </c>
      <c r="C8" s="1" t="s">
        <v>1331</v>
      </c>
      <c r="D8" t="s">
        <v>54</v>
      </c>
      <c r="E8" t="s">
        <v>55</v>
      </c>
      <c r="F8" t="s">
        <v>44</v>
      </c>
      <c r="G8" t="s">
        <v>23</v>
      </c>
      <c r="H8" t="s">
        <v>56</v>
      </c>
      <c r="I8">
        <v>190508</v>
      </c>
      <c r="J8">
        <v>0</v>
      </c>
      <c r="K8">
        <v>0</v>
      </c>
      <c r="L8">
        <v>0</v>
      </c>
      <c r="M8">
        <v>0</v>
      </c>
      <c r="N8">
        <v>790</v>
      </c>
      <c r="O8">
        <v>61</v>
      </c>
      <c r="P8" t="s">
        <v>25</v>
      </c>
      <c r="Q8">
        <v>982914</v>
      </c>
      <c r="R8" t="s">
        <v>26</v>
      </c>
      <c r="S8" t="s">
        <v>27</v>
      </c>
      <c r="T8" t="s">
        <v>34</v>
      </c>
    </row>
    <row r="9" spans="1:20" x14ac:dyDescent="0.3">
      <c r="A9" t="s">
        <v>57</v>
      </c>
      <c r="B9" s="1">
        <v>45852</v>
      </c>
      <c r="C9" s="1" t="s">
        <v>1327</v>
      </c>
      <c r="D9" t="s">
        <v>58</v>
      </c>
      <c r="E9" t="s">
        <v>37</v>
      </c>
      <c r="F9" t="s">
        <v>22</v>
      </c>
      <c r="G9" t="s">
        <v>59</v>
      </c>
      <c r="H9" t="s">
        <v>56</v>
      </c>
      <c r="I9">
        <v>166281</v>
      </c>
      <c r="J9">
        <v>0</v>
      </c>
      <c r="K9">
        <v>0</v>
      </c>
      <c r="L9">
        <v>0</v>
      </c>
      <c r="M9">
        <v>0</v>
      </c>
      <c r="N9">
        <v>814</v>
      </c>
      <c r="O9">
        <v>32</v>
      </c>
      <c r="P9" t="s">
        <v>32</v>
      </c>
      <c r="Q9">
        <v>2205645</v>
      </c>
      <c r="R9" t="s">
        <v>49</v>
      </c>
      <c r="S9" t="s">
        <v>27</v>
      </c>
      <c r="T9" t="s">
        <v>60</v>
      </c>
    </row>
    <row r="10" spans="1:20" x14ac:dyDescent="0.3">
      <c r="A10" t="s">
        <v>61</v>
      </c>
      <c r="B10" s="1">
        <v>45710</v>
      </c>
      <c r="C10" s="1" t="s">
        <v>1322</v>
      </c>
      <c r="D10" t="s">
        <v>62</v>
      </c>
      <c r="E10" t="s">
        <v>63</v>
      </c>
      <c r="F10" t="s">
        <v>64</v>
      </c>
      <c r="G10" t="s">
        <v>59</v>
      </c>
      <c r="H10" t="s">
        <v>31</v>
      </c>
      <c r="I10">
        <v>0</v>
      </c>
      <c r="J10">
        <v>0</v>
      </c>
      <c r="K10">
        <v>270793</v>
      </c>
      <c r="L10">
        <v>0</v>
      </c>
      <c r="M10">
        <v>0</v>
      </c>
      <c r="N10">
        <v>568</v>
      </c>
      <c r="O10">
        <v>40</v>
      </c>
      <c r="P10" t="s">
        <v>25</v>
      </c>
      <c r="Q10">
        <v>2010335</v>
      </c>
      <c r="R10" t="s">
        <v>26</v>
      </c>
      <c r="S10" t="s">
        <v>65</v>
      </c>
      <c r="T10" t="s">
        <v>60</v>
      </c>
    </row>
    <row r="11" spans="1:20" x14ac:dyDescent="0.3">
      <c r="A11" t="s">
        <v>66</v>
      </c>
      <c r="B11" s="1">
        <v>46004</v>
      </c>
      <c r="C11" s="1" t="s">
        <v>1332</v>
      </c>
      <c r="D11" t="s">
        <v>67</v>
      </c>
      <c r="E11" t="s">
        <v>21</v>
      </c>
      <c r="F11" t="s">
        <v>21</v>
      </c>
      <c r="G11" t="s">
        <v>68</v>
      </c>
      <c r="H11" t="s">
        <v>56</v>
      </c>
      <c r="I11">
        <v>65703</v>
      </c>
      <c r="J11">
        <v>0</v>
      </c>
      <c r="K11">
        <v>0</v>
      </c>
      <c r="L11">
        <v>0</v>
      </c>
      <c r="M11">
        <v>0</v>
      </c>
      <c r="N11">
        <v>498</v>
      </c>
      <c r="O11">
        <v>41</v>
      </c>
      <c r="P11" t="s">
        <v>32</v>
      </c>
      <c r="Q11">
        <v>2726474</v>
      </c>
      <c r="R11" t="s">
        <v>49</v>
      </c>
      <c r="S11" t="s">
        <v>27</v>
      </c>
      <c r="T11" t="s">
        <v>60</v>
      </c>
    </row>
    <row r="12" spans="1:20" x14ac:dyDescent="0.3">
      <c r="A12" t="s">
        <v>69</v>
      </c>
      <c r="B12" s="1">
        <v>45785</v>
      </c>
      <c r="C12" s="1" t="s">
        <v>1325</v>
      </c>
      <c r="D12" t="s">
        <v>70</v>
      </c>
      <c r="E12" t="s">
        <v>63</v>
      </c>
      <c r="F12" t="s">
        <v>22</v>
      </c>
      <c r="G12" t="s">
        <v>23</v>
      </c>
      <c r="H12" t="s">
        <v>52</v>
      </c>
      <c r="I12">
        <v>0</v>
      </c>
      <c r="J12">
        <v>0</v>
      </c>
      <c r="K12">
        <v>0</v>
      </c>
      <c r="L12">
        <v>22670</v>
      </c>
      <c r="M12">
        <v>0</v>
      </c>
      <c r="N12">
        <v>313</v>
      </c>
      <c r="O12">
        <v>20</v>
      </c>
      <c r="P12" t="s">
        <v>25</v>
      </c>
      <c r="Q12">
        <v>2895921</v>
      </c>
      <c r="R12" t="s">
        <v>26</v>
      </c>
      <c r="S12" t="s">
        <v>71</v>
      </c>
      <c r="T12" t="s">
        <v>45</v>
      </c>
    </row>
    <row r="13" spans="1:20" x14ac:dyDescent="0.3">
      <c r="A13" t="s">
        <v>72</v>
      </c>
      <c r="B13" s="1">
        <v>45802</v>
      </c>
      <c r="C13" s="1" t="s">
        <v>1325</v>
      </c>
      <c r="D13" t="s">
        <v>73</v>
      </c>
      <c r="E13" t="s">
        <v>63</v>
      </c>
      <c r="F13" t="s">
        <v>38</v>
      </c>
      <c r="G13" t="s">
        <v>39</v>
      </c>
      <c r="H13" t="s">
        <v>52</v>
      </c>
      <c r="I13">
        <v>0</v>
      </c>
      <c r="J13">
        <v>0</v>
      </c>
      <c r="K13">
        <v>0</v>
      </c>
      <c r="L13">
        <v>13714</v>
      </c>
      <c r="M13">
        <v>0</v>
      </c>
      <c r="N13">
        <v>856</v>
      </c>
      <c r="O13">
        <v>63</v>
      </c>
      <c r="P13" t="s">
        <v>32</v>
      </c>
      <c r="Q13">
        <v>1944434</v>
      </c>
      <c r="R13" t="s">
        <v>26</v>
      </c>
      <c r="S13" t="s">
        <v>74</v>
      </c>
      <c r="T13" t="s">
        <v>28</v>
      </c>
    </row>
    <row r="14" spans="1:20" x14ac:dyDescent="0.3">
      <c r="A14" t="s">
        <v>75</v>
      </c>
      <c r="B14" s="1">
        <v>45812</v>
      </c>
      <c r="C14" s="1" t="s">
        <v>1326</v>
      </c>
      <c r="D14" t="s">
        <v>76</v>
      </c>
      <c r="E14" t="s">
        <v>77</v>
      </c>
      <c r="F14" t="s">
        <v>38</v>
      </c>
      <c r="G14" t="s">
        <v>59</v>
      </c>
      <c r="H14" t="s">
        <v>40</v>
      </c>
      <c r="I14">
        <v>0</v>
      </c>
      <c r="J14">
        <v>42097</v>
      </c>
      <c r="K14">
        <v>0</v>
      </c>
      <c r="L14">
        <v>0</v>
      </c>
      <c r="M14">
        <v>0</v>
      </c>
      <c r="N14">
        <v>674</v>
      </c>
      <c r="O14">
        <v>66</v>
      </c>
      <c r="P14" t="s">
        <v>25</v>
      </c>
      <c r="Q14">
        <v>1125243</v>
      </c>
      <c r="R14" t="s">
        <v>26</v>
      </c>
      <c r="S14" t="s">
        <v>27</v>
      </c>
      <c r="T14" t="s">
        <v>28</v>
      </c>
    </row>
    <row r="15" spans="1:20" x14ac:dyDescent="0.3">
      <c r="A15" t="s">
        <v>78</v>
      </c>
      <c r="B15" s="1">
        <v>46007</v>
      </c>
      <c r="C15" s="1" t="s">
        <v>1332</v>
      </c>
      <c r="D15" t="s">
        <v>36</v>
      </c>
      <c r="E15" t="s">
        <v>77</v>
      </c>
      <c r="F15" t="s">
        <v>64</v>
      </c>
      <c r="G15" t="s">
        <v>59</v>
      </c>
      <c r="H15" t="s">
        <v>24</v>
      </c>
      <c r="I15">
        <v>0</v>
      </c>
      <c r="J15">
        <v>0</v>
      </c>
      <c r="K15">
        <v>0</v>
      </c>
      <c r="L15">
        <v>0</v>
      </c>
      <c r="M15">
        <v>268.36</v>
      </c>
      <c r="N15">
        <v>746</v>
      </c>
      <c r="O15">
        <v>34</v>
      </c>
      <c r="P15" t="s">
        <v>25</v>
      </c>
      <c r="Q15">
        <v>894657</v>
      </c>
      <c r="R15" t="s">
        <v>26</v>
      </c>
      <c r="S15" t="s">
        <v>27</v>
      </c>
      <c r="T15" t="s">
        <v>34</v>
      </c>
    </row>
    <row r="16" spans="1:20" x14ac:dyDescent="0.3">
      <c r="A16" t="s">
        <v>79</v>
      </c>
      <c r="B16" s="1">
        <v>45685</v>
      </c>
      <c r="C16" s="1" t="s">
        <v>1321</v>
      </c>
      <c r="D16" t="s">
        <v>80</v>
      </c>
      <c r="E16" t="s">
        <v>63</v>
      </c>
      <c r="F16" t="s">
        <v>22</v>
      </c>
      <c r="G16" t="s">
        <v>59</v>
      </c>
      <c r="H16" t="s">
        <v>52</v>
      </c>
      <c r="I16">
        <v>0</v>
      </c>
      <c r="J16">
        <v>0</v>
      </c>
      <c r="K16">
        <v>0</v>
      </c>
      <c r="L16">
        <v>16499</v>
      </c>
      <c r="M16">
        <v>0</v>
      </c>
      <c r="N16">
        <v>723</v>
      </c>
      <c r="O16">
        <v>26</v>
      </c>
      <c r="P16" t="s">
        <v>32</v>
      </c>
      <c r="Q16">
        <v>1331670</v>
      </c>
      <c r="R16" t="s">
        <v>49</v>
      </c>
      <c r="S16" t="s">
        <v>33</v>
      </c>
      <c r="T16" t="s">
        <v>60</v>
      </c>
    </row>
    <row r="17" spans="1:20" x14ac:dyDescent="0.3">
      <c r="A17" t="s">
        <v>81</v>
      </c>
      <c r="B17" s="1">
        <v>45983</v>
      </c>
      <c r="C17" s="1" t="s">
        <v>1331</v>
      </c>
      <c r="D17" t="s">
        <v>82</v>
      </c>
      <c r="E17" t="s">
        <v>63</v>
      </c>
      <c r="F17" t="s">
        <v>21</v>
      </c>
      <c r="G17" t="s">
        <v>23</v>
      </c>
      <c r="H17" t="s">
        <v>40</v>
      </c>
      <c r="I17">
        <v>0</v>
      </c>
      <c r="J17">
        <v>88630</v>
      </c>
      <c r="K17">
        <v>0</v>
      </c>
      <c r="L17">
        <v>0</v>
      </c>
      <c r="M17">
        <v>0</v>
      </c>
      <c r="N17">
        <v>687</v>
      </c>
      <c r="O17">
        <v>22</v>
      </c>
      <c r="P17" t="s">
        <v>25</v>
      </c>
      <c r="Q17">
        <v>301003</v>
      </c>
      <c r="R17" t="s">
        <v>26</v>
      </c>
      <c r="S17" t="s">
        <v>27</v>
      </c>
      <c r="T17" t="s">
        <v>45</v>
      </c>
    </row>
    <row r="18" spans="1:20" x14ac:dyDescent="0.3">
      <c r="A18" t="s">
        <v>83</v>
      </c>
      <c r="B18" s="1">
        <v>45731</v>
      </c>
      <c r="C18" s="1" t="s">
        <v>1323</v>
      </c>
      <c r="D18" t="s">
        <v>84</v>
      </c>
      <c r="E18" t="s">
        <v>37</v>
      </c>
      <c r="F18" t="s">
        <v>22</v>
      </c>
      <c r="G18" t="s">
        <v>39</v>
      </c>
      <c r="H18" t="s">
        <v>24</v>
      </c>
      <c r="I18">
        <v>0</v>
      </c>
      <c r="J18">
        <v>0</v>
      </c>
      <c r="K18">
        <v>0</v>
      </c>
      <c r="L18">
        <v>0</v>
      </c>
      <c r="M18">
        <v>8095.97</v>
      </c>
      <c r="N18">
        <v>408</v>
      </c>
      <c r="O18">
        <v>30</v>
      </c>
      <c r="P18" t="s">
        <v>25</v>
      </c>
      <c r="Q18">
        <v>2390531</v>
      </c>
      <c r="R18" t="s">
        <v>26</v>
      </c>
      <c r="S18" t="s">
        <v>27</v>
      </c>
      <c r="T18" t="s">
        <v>41</v>
      </c>
    </row>
    <row r="19" spans="1:20" x14ac:dyDescent="0.3">
      <c r="A19" t="s">
        <v>86</v>
      </c>
      <c r="B19" s="1">
        <v>45884</v>
      </c>
      <c r="C19" s="1" t="s">
        <v>1328</v>
      </c>
      <c r="D19" t="s">
        <v>87</v>
      </c>
      <c r="E19" t="s">
        <v>55</v>
      </c>
      <c r="F19" t="s">
        <v>44</v>
      </c>
      <c r="G19" t="s">
        <v>59</v>
      </c>
      <c r="H19" t="s">
        <v>31</v>
      </c>
      <c r="I19">
        <v>0</v>
      </c>
      <c r="J19">
        <v>0</v>
      </c>
      <c r="K19">
        <v>1038373</v>
      </c>
      <c r="L19">
        <v>0</v>
      </c>
      <c r="M19">
        <v>0</v>
      </c>
      <c r="N19">
        <v>565</v>
      </c>
      <c r="O19">
        <v>63</v>
      </c>
      <c r="P19" t="s">
        <v>32</v>
      </c>
      <c r="Q19">
        <v>1842610</v>
      </c>
      <c r="R19" t="s">
        <v>26</v>
      </c>
      <c r="S19" t="s">
        <v>33</v>
      </c>
      <c r="T19" t="s">
        <v>45</v>
      </c>
    </row>
    <row r="20" spans="1:20" x14ac:dyDescent="0.3">
      <c r="A20" t="s">
        <v>88</v>
      </c>
      <c r="B20" s="1">
        <v>45737</v>
      </c>
      <c r="C20" s="1" t="s">
        <v>1323</v>
      </c>
      <c r="D20" t="s">
        <v>89</v>
      </c>
      <c r="E20" t="s">
        <v>55</v>
      </c>
      <c r="F20" t="s">
        <v>22</v>
      </c>
      <c r="G20" t="s">
        <v>23</v>
      </c>
      <c r="H20" t="s">
        <v>52</v>
      </c>
      <c r="I20">
        <v>0</v>
      </c>
      <c r="J20">
        <v>0</v>
      </c>
      <c r="K20">
        <v>0</v>
      </c>
      <c r="L20">
        <v>45878</v>
      </c>
      <c r="M20">
        <v>0</v>
      </c>
      <c r="N20">
        <v>734</v>
      </c>
      <c r="O20">
        <v>26</v>
      </c>
      <c r="P20" t="s">
        <v>25</v>
      </c>
      <c r="Q20">
        <v>1243111</v>
      </c>
      <c r="R20" t="s">
        <v>49</v>
      </c>
      <c r="S20" t="s">
        <v>33</v>
      </c>
      <c r="T20" t="s">
        <v>34</v>
      </c>
    </row>
    <row r="21" spans="1:20" x14ac:dyDescent="0.3">
      <c r="A21" t="s">
        <v>90</v>
      </c>
      <c r="B21" s="1">
        <v>45665</v>
      </c>
      <c r="C21" s="1" t="s">
        <v>1321</v>
      </c>
      <c r="D21" t="s">
        <v>91</v>
      </c>
      <c r="E21" t="s">
        <v>21</v>
      </c>
      <c r="F21" t="s">
        <v>22</v>
      </c>
      <c r="G21" t="s">
        <v>23</v>
      </c>
      <c r="H21" t="s">
        <v>56</v>
      </c>
      <c r="I21">
        <v>93735</v>
      </c>
      <c r="J21">
        <v>0</v>
      </c>
      <c r="K21">
        <v>0</v>
      </c>
      <c r="L21">
        <v>0</v>
      </c>
      <c r="M21">
        <v>0</v>
      </c>
      <c r="N21">
        <v>784</v>
      </c>
      <c r="O21">
        <v>49</v>
      </c>
      <c r="P21" t="s">
        <v>25</v>
      </c>
      <c r="Q21">
        <v>2930532</v>
      </c>
      <c r="R21" t="s">
        <v>49</v>
      </c>
      <c r="S21" t="s">
        <v>27</v>
      </c>
      <c r="T21" t="s">
        <v>41</v>
      </c>
    </row>
    <row r="22" spans="1:20" x14ac:dyDescent="0.3">
      <c r="A22" t="s">
        <v>92</v>
      </c>
      <c r="B22" s="1">
        <v>45802</v>
      </c>
      <c r="C22" s="1" t="s">
        <v>1325</v>
      </c>
      <c r="D22" t="s">
        <v>93</v>
      </c>
      <c r="E22" t="s">
        <v>77</v>
      </c>
      <c r="F22" t="s">
        <v>38</v>
      </c>
      <c r="G22" t="s">
        <v>59</v>
      </c>
      <c r="H22" t="s">
        <v>56</v>
      </c>
      <c r="I22">
        <v>199734</v>
      </c>
      <c r="J22">
        <v>0</v>
      </c>
      <c r="K22">
        <v>0</v>
      </c>
      <c r="L22">
        <v>0</v>
      </c>
      <c r="M22">
        <v>0</v>
      </c>
      <c r="N22">
        <v>536</v>
      </c>
      <c r="O22">
        <v>61</v>
      </c>
      <c r="P22" t="s">
        <v>32</v>
      </c>
      <c r="Q22">
        <v>2157347</v>
      </c>
      <c r="R22" t="s">
        <v>26</v>
      </c>
      <c r="S22" t="s">
        <v>27</v>
      </c>
      <c r="T22" t="s">
        <v>41</v>
      </c>
    </row>
    <row r="23" spans="1:20" x14ac:dyDescent="0.3">
      <c r="A23" t="s">
        <v>94</v>
      </c>
      <c r="B23" s="1">
        <v>45693</v>
      </c>
      <c r="C23" s="1" t="s">
        <v>1322</v>
      </c>
      <c r="D23" t="s">
        <v>93</v>
      </c>
      <c r="E23" t="s">
        <v>48</v>
      </c>
      <c r="F23" t="s">
        <v>64</v>
      </c>
      <c r="G23" t="s">
        <v>39</v>
      </c>
      <c r="H23" t="s">
        <v>56</v>
      </c>
      <c r="I23">
        <v>42938</v>
      </c>
      <c r="J23">
        <v>0</v>
      </c>
      <c r="K23">
        <v>0</v>
      </c>
      <c r="L23">
        <v>0</v>
      </c>
      <c r="M23">
        <v>0</v>
      </c>
      <c r="N23">
        <v>765</v>
      </c>
      <c r="O23">
        <v>37</v>
      </c>
      <c r="P23" t="s">
        <v>32</v>
      </c>
      <c r="Q23">
        <v>1394178</v>
      </c>
      <c r="R23" t="s">
        <v>49</v>
      </c>
      <c r="S23" t="s">
        <v>27</v>
      </c>
      <c r="T23" t="s">
        <v>41</v>
      </c>
    </row>
    <row r="24" spans="1:20" x14ac:dyDescent="0.3">
      <c r="A24" t="s">
        <v>95</v>
      </c>
      <c r="B24" s="1">
        <v>45820</v>
      </c>
      <c r="C24" s="1" t="s">
        <v>1326</v>
      </c>
      <c r="D24" t="s">
        <v>96</v>
      </c>
      <c r="E24" t="s">
        <v>63</v>
      </c>
      <c r="F24" t="s">
        <v>64</v>
      </c>
      <c r="G24" t="s">
        <v>59</v>
      </c>
      <c r="H24" t="s">
        <v>40</v>
      </c>
      <c r="I24">
        <v>0</v>
      </c>
      <c r="J24">
        <v>27718</v>
      </c>
      <c r="K24">
        <v>0</v>
      </c>
      <c r="L24">
        <v>0</v>
      </c>
      <c r="M24">
        <v>0</v>
      </c>
      <c r="N24">
        <v>766</v>
      </c>
      <c r="O24">
        <v>24</v>
      </c>
      <c r="P24" t="s">
        <v>25</v>
      </c>
      <c r="Q24">
        <v>281073</v>
      </c>
      <c r="R24" t="s">
        <v>49</v>
      </c>
      <c r="S24" t="s">
        <v>27</v>
      </c>
      <c r="T24" t="s">
        <v>45</v>
      </c>
    </row>
    <row r="25" spans="1:20" x14ac:dyDescent="0.3">
      <c r="A25" t="s">
        <v>97</v>
      </c>
      <c r="B25" s="1">
        <v>45929</v>
      </c>
      <c r="C25" s="1" t="s">
        <v>1329</v>
      </c>
      <c r="D25" t="s">
        <v>98</v>
      </c>
      <c r="E25" t="s">
        <v>21</v>
      </c>
      <c r="F25" t="s">
        <v>21</v>
      </c>
      <c r="G25" t="s">
        <v>23</v>
      </c>
      <c r="H25" t="s">
        <v>52</v>
      </c>
      <c r="I25">
        <v>0</v>
      </c>
      <c r="J25">
        <v>0</v>
      </c>
      <c r="K25">
        <v>0</v>
      </c>
      <c r="L25">
        <v>29778</v>
      </c>
      <c r="M25">
        <v>0</v>
      </c>
      <c r="N25">
        <v>875</v>
      </c>
      <c r="O25">
        <v>38</v>
      </c>
      <c r="P25" t="s">
        <v>25</v>
      </c>
      <c r="Q25">
        <v>1839672</v>
      </c>
      <c r="R25" t="s">
        <v>49</v>
      </c>
      <c r="S25" t="s">
        <v>71</v>
      </c>
      <c r="T25" t="s">
        <v>41</v>
      </c>
    </row>
    <row r="26" spans="1:20" x14ac:dyDescent="0.3">
      <c r="A26" t="s">
        <v>99</v>
      </c>
      <c r="B26" s="1">
        <v>45909</v>
      </c>
      <c r="C26" s="1" t="s">
        <v>1329</v>
      </c>
      <c r="D26" t="s">
        <v>100</v>
      </c>
      <c r="E26" t="s">
        <v>37</v>
      </c>
      <c r="F26" t="s">
        <v>38</v>
      </c>
      <c r="G26" t="s">
        <v>39</v>
      </c>
      <c r="H26" t="s">
        <v>40</v>
      </c>
      <c r="I26">
        <v>0</v>
      </c>
      <c r="J26">
        <v>94678</v>
      </c>
      <c r="K26">
        <v>0</v>
      </c>
      <c r="L26">
        <v>0</v>
      </c>
      <c r="M26">
        <v>0</v>
      </c>
      <c r="N26">
        <v>556</v>
      </c>
      <c r="O26">
        <v>38</v>
      </c>
      <c r="P26" t="s">
        <v>32</v>
      </c>
      <c r="Q26">
        <v>1967417</v>
      </c>
      <c r="R26" t="s">
        <v>26</v>
      </c>
      <c r="S26" t="s">
        <v>27</v>
      </c>
      <c r="T26" t="s">
        <v>28</v>
      </c>
    </row>
    <row r="27" spans="1:20" x14ac:dyDescent="0.3">
      <c r="A27" t="s">
        <v>101</v>
      </c>
      <c r="B27" s="1">
        <v>45778</v>
      </c>
      <c r="C27" s="1" t="s">
        <v>1325</v>
      </c>
      <c r="D27" t="s">
        <v>102</v>
      </c>
      <c r="E27" t="s">
        <v>63</v>
      </c>
      <c r="F27" t="s">
        <v>64</v>
      </c>
      <c r="G27" t="s">
        <v>68</v>
      </c>
      <c r="H27" t="s">
        <v>24</v>
      </c>
      <c r="I27">
        <v>0</v>
      </c>
      <c r="J27">
        <v>0</v>
      </c>
      <c r="K27">
        <v>0</v>
      </c>
      <c r="L27">
        <v>0</v>
      </c>
      <c r="M27">
        <v>6241.81</v>
      </c>
      <c r="N27">
        <v>618</v>
      </c>
      <c r="O27">
        <v>45</v>
      </c>
      <c r="P27" t="s">
        <v>25</v>
      </c>
      <c r="Q27">
        <v>1280633</v>
      </c>
      <c r="R27" t="s">
        <v>26</v>
      </c>
      <c r="S27" t="s">
        <v>27</v>
      </c>
      <c r="T27" t="s">
        <v>28</v>
      </c>
    </row>
    <row r="28" spans="1:20" x14ac:dyDescent="0.3">
      <c r="A28" t="s">
        <v>103</v>
      </c>
      <c r="B28" s="1">
        <v>45898</v>
      </c>
      <c r="C28" s="1" t="s">
        <v>1328</v>
      </c>
      <c r="D28" t="s">
        <v>104</v>
      </c>
      <c r="E28" t="s">
        <v>37</v>
      </c>
      <c r="F28" t="s">
        <v>22</v>
      </c>
      <c r="G28" t="s">
        <v>59</v>
      </c>
      <c r="H28" t="s">
        <v>56</v>
      </c>
      <c r="I28">
        <v>154161</v>
      </c>
      <c r="J28">
        <v>0</v>
      </c>
      <c r="K28">
        <v>0</v>
      </c>
      <c r="L28">
        <v>0</v>
      </c>
      <c r="M28">
        <v>0</v>
      </c>
      <c r="N28">
        <v>816</v>
      </c>
      <c r="O28">
        <v>23</v>
      </c>
      <c r="P28" t="s">
        <v>32</v>
      </c>
      <c r="Q28">
        <v>2758024</v>
      </c>
      <c r="R28" t="s">
        <v>49</v>
      </c>
      <c r="S28" t="s">
        <v>27</v>
      </c>
      <c r="T28" t="s">
        <v>34</v>
      </c>
    </row>
    <row r="29" spans="1:20" x14ac:dyDescent="0.3">
      <c r="A29" t="s">
        <v>105</v>
      </c>
      <c r="B29" s="1">
        <v>45807</v>
      </c>
      <c r="C29" s="1" t="s">
        <v>1325</v>
      </c>
      <c r="D29" t="s">
        <v>106</v>
      </c>
      <c r="E29" t="s">
        <v>37</v>
      </c>
      <c r="F29" t="s">
        <v>38</v>
      </c>
      <c r="G29" t="s">
        <v>68</v>
      </c>
      <c r="H29" t="s">
        <v>24</v>
      </c>
      <c r="I29">
        <v>0</v>
      </c>
      <c r="J29">
        <v>0</v>
      </c>
      <c r="K29">
        <v>0</v>
      </c>
      <c r="L29">
        <v>0</v>
      </c>
      <c r="M29">
        <v>7246.9</v>
      </c>
      <c r="N29">
        <v>695</v>
      </c>
      <c r="O29">
        <v>27</v>
      </c>
      <c r="P29" t="s">
        <v>32</v>
      </c>
      <c r="Q29">
        <v>1015537</v>
      </c>
      <c r="R29" t="s">
        <v>26</v>
      </c>
      <c r="S29" t="s">
        <v>27</v>
      </c>
      <c r="T29" t="s">
        <v>45</v>
      </c>
    </row>
    <row r="30" spans="1:20" x14ac:dyDescent="0.3">
      <c r="A30" t="s">
        <v>107</v>
      </c>
      <c r="B30" s="1">
        <v>45942</v>
      </c>
      <c r="C30" s="1" t="s">
        <v>1330</v>
      </c>
      <c r="D30" t="s">
        <v>108</v>
      </c>
      <c r="E30" t="s">
        <v>21</v>
      </c>
      <c r="F30" t="s">
        <v>38</v>
      </c>
      <c r="G30" t="s">
        <v>23</v>
      </c>
      <c r="H30" t="s">
        <v>56</v>
      </c>
      <c r="I30">
        <v>110770</v>
      </c>
      <c r="J30">
        <v>0</v>
      </c>
      <c r="K30">
        <v>0</v>
      </c>
      <c r="L30">
        <v>0</v>
      </c>
      <c r="M30">
        <v>0</v>
      </c>
      <c r="N30">
        <v>370</v>
      </c>
      <c r="O30">
        <v>55</v>
      </c>
      <c r="P30" t="s">
        <v>25</v>
      </c>
      <c r="Q30">
        <v>684185</v>
      </c>
      <c r="R30" t="s">
        <v>26</v>
      </c>
      <c r="S30" t="s">
        <v>27</v>
      </c>
      <c r="T30" t="s">
        <v>28</v>
      </c>
    </row>
    <row r="31" spans="1:20" x14ac:dyDescent="0.3">
      <c r="A31" t="s">
        <v>109</v>
      </c>
      <c r="B31" s="1">
        <v>45999</v>
      </c>
      <c r="C31" s="1" t="s">
        <v>1332</v>
      </c>
      <c r="D31" t="s">
        <v>110</v>
      </c>
      <c r="E31" t="s">
        <v>48</v>
      </c>
      <c r="F31" t="s">
        <v>21</v>
      </c>
      <c r="G31" t="s">
        <v>39</v>
      </c>
      <c r="H31" t="s">
        <v>52</v>
      </c>
      <c r="I31">
        <v>0</v>
      </c>
      <c r="J31">
        <v>0</v>
      </c>
      <c r="K31">
        <v>0</v>
      </c>
      <c r="L31">
        <v>30765</v>
      </c>
      <c r="M31">
        <v>0</v>
      </c>
      <c r="N31">
        <v>353</v>
      </c>
      <c r="O31">
        <v>59</v>
      </c>
      <c r="P31" t="s">
        <v>25</v>
      </c>
      <c r="Q31">
        <v>742743</v>
      </c>
      <c r="R31" t="s">
        <v>49</v>
      </c>
      <c r="S31" t="s">
        <v>74</v>
      </c>
      <c r="T31" t="s">
        <v>45</v>
      </c>
    </row>
    <row r="32" spans="1:20" x14ac:dyDescent="0.3">
      <c r="A32" t="s">
        <v>111</v>
      </c>
      <c r="B32" s="1">
        <v>45859</v>
      </c>
      <c r="C32" s="1" t="s">
        <v>1327</v>
      </c>
      <c r="D32" t="s">
        <v>112</v>
      </c>
      <c r="E32" t="s">
        <v>77</v>
      </c>
      <c r="F32" t="s">
        <v>38</v>
      </c>
      <c r="G32" t="s">
        <v>23</v>
      </c>
      <c r="H32" t="s">
        <v>56</v>
      </c>
      <c r="I32">
        <v>53788</v>
      </c>
      <c r="J32">
        <v>0</v>
      </c>
      <c r="K32">
        <v>0</v>
      </c>
      <c r="L32">
        <v>0</v>
      </c>
      <c r="M32">
        <v>0</v>
      </c>
      <c r="N32">
        <v>657</v>
      </c>
      <c r="O32">
        <v>61</v>
      </c>
      <c r="P32" t="s">
        <v>32</v>
      </c>
      <c r="Q32">
        <v>892188</v>
      </c>
      <c r="R32" t="s">
        <v>26</v>
      </c>
      <c r="S32" t="s">
        <v>27</v>
      </c>
      <c r="T32" t="s">
        <v>45</v>
      </c>
    </row>
    <row r="33" spans="1:20" x14ac:dyDescent="0.3">
      <c r="A33" t="s">
        <v>113</v>
      </c>
      <c r="B33" s="1">
        <v>45687</v>
      </c>
      <c r="C33" s="1" t="s">
        <v>1321</v>
      </c>
      <c r="D33" t="s">
        <v>114</v>
      </c>
      <c r="E33" t="s">
        <v>1338</v>
      </c>
      <c r="F33" t="s">
        <v>22</v>
      </c>
      <c r="G33" t="s">
        <v>68</v>
      </c>
      <c r="H33" t="s">
        <v>52</v>
      </c>
      <c r="I33">
        <v>0</v>
      </c>
      <c r="J33">
        <v>0</v>
      </c>
      <c r="K33">
        <v>0</v>
      </c>
      <c r="L33">
        <v>47137</v>
      </c>
      <c r="M33">
        <v>0</v>
      </c>
      <c r="N33">
        <v>719</v>
      </c>
      <c r="O33">
        <v>60</v>
      </c>
      <c r="P33" t="s">
        <v>32</v>
      </c>
      <c r="Q33">
        <v>2644701</v>
      </c>
      <c r="R33" t="s">
        <v>49</v>
      </c>
      <c r="S33" t="s">
        <v>74</v>
      </c>
      <c r="T33" t="s">
        <v>41</v>
      </c>
    </row>
    <row r="34" spans="1:20" x14ac:dyDescent="0.3">
      <c r="A34" t="s">
        <v>115</v>
      </c>
      <c r="B34" s="1">
        <v>45883</v>
      </c>
      <c r="C34" s="1" t="s">
        <v>1328</v>
      </c>
      <c r="D34" t="s">
        <v>116</v>
      </c>
      <c r="E34" t="s">
        <v>77</v>
      </c>
      <c r="F34" t="s">
        <v>44</v>
      </c>
      <c r="G34" t="s">
        <v>39</v>
      </c>
      <c r="H34" t="s">
        <v>40</v>
      </c>
      <c r="I34">
        <v>0</v>
      </c>
      <c r="J34">
        <v>47732</v>
      </c>
      <c r="K34">
        <v>0</v>
      </c>
      <c r="L34">
        <v>0</v>
      </c>
      <c r="M34">
        <v>0</v>
      </c>
      <c r="N34">
        <v>315</v>
      </c>
      <c r="O34">
        <v>38</v>
      </c>
      <c r="P34" t="s">
        <v>25</v>
      </c>
      <c r="Q34">
        <v>1119426</v>
      </c>
      <c r="R34" t="s">
        <v>49</v>
      </c>
      <c r="S34" t="s">
        <v>27</v>
      </c>
      <c r="T34" t="s">
        <v>45</v>
      </c>
    </row>
    <row r="35" spans="1:20" x14ac:dyDescent="0.3">
      <c r="A35" t="s">
        <v>117</v>
      </c>
      <c r="B35" s="1">
        <v>45847</v>
      </c>
      <c r="C35" s="1" t="s">
        <v>1327</v>
      </c>
      <c r="D35" t="s">
        <v>118</v>
      </c>
      <c r="E35" t="s">
        <v>48</v>
      </c>
      <c r="F35" t="s">
        <v>44</v>
      </c>
      <c r="G35" t="s">
        <v>23</v>
      </c>
      <c r="H35" t="s">
        <v>40</v>
      </c>
      <c r="I35">
        <v>0</v>
      </c>
      <c r="J35">
        <v>99699</v>
      </c>
      <c r="K35">
        <v>0</v>
      </c>
      <c r="L35">
        <v>0</v>
      </c>
      <c r="M35">
        <v>0</v>
      </c>
      <c r="N35">
        <v>497</v>
      </c>
      <c r="O35">
        <v>55</v>
      </c>
      <c r="P35" t="s">
        <v>25</v>
      </c>
      <c r="Q35">
        <v>1929234</v>
      </c>
      <c r="R35" t="s">
        <v>49</v>
      </c>
      <c r="S35" t="s">
        <v>27</v>
      </c>
      <c r="T35" t="s">
        <v>28</v>
      </c>
    </row>
    <row r="36" spans="1:20" x14ac:dyDescent="0.3">
      <c r="A36" t="s">
        <v>119</v>
      </c>
      <c r="B36" s="1">
        <v>45659</v>
      </c>
      <c r="C36" s="1" t="s">
        <v>1321</v>
      </c>
      <c r="D36" t="s">
        <v>120</v>
      </c>
      <c r="E36" t="s">
        <v>48</v>
      </c>
      <c r="F36" t="s">
        <v>22</v>
      </c>
      <c r="G36" t="s">
        <v>68</v>
      </c>
      <c r="H36" t="s">
        <v>56</v>
      </c>
      <c r="I36">
        <v>85332</v>
      </c>
      <c r="J36">
        <v>0</v>
      </c>
      <c r="K36">
        <v>0</v>
      </c>
      <c r="L36">
        <v>0</v>
      </c>
      <c r="M36">
        <v>0</v>
      </c>
      <c r="N36">
        <v>579</v>
      </c>
      <c r="O36">
        <v>19</v>
      </c>
      <c r="P36" t="s">
        <v>25</v>
      </c>
      <c r="Q36">
        <v>2994391</v>
      </c>
      <c r="R36" t="s">
        <v>26</v>
      </c>
      <c r="S36" t="s">
        <v>27</v>
      </c>
      <c r="T36" t="s">
        <v>45</v>
      </c>
    </row>
    <row r="37" spans="1:20" x14ac:dyDescent="0.3">
      <c r="A37" t="s">
        <v>121</v>
      </c>
      <c r="B37" s="1">
        <v>45965</v>
      </c>
      <c r="C37" s="1" t="s">
        <v>1331</v>
      </c>
      <c r="D37" t="s">
        <v>122</v>
      </c>
      <c r="E37" t="s">
        <v>63</v>
      </c>
      <c r="F37" t="s">
        <v>44</v>
      </c>
      <c r="G37" t="s">
        <v>59</v>
      </c>
      <c r="H37" t="s">
        <v>52</v>
      </c>
      <c r="I37">
        <v>0</v>
      </c>
      <c r="J37">
        <v>0</v>
      </c>
      <c r="K37">
        <v>0</v>
      </c>
      <c r="L37">
        <v>13724</v>
      </c>
      <c r="M37">
        <v>0</v>
      </c>
      <c r="N37">
        <v>681</v>
      </c>
      <c r="O37">
        <v>22</v>
      </c>
      <c r="P37" t="s">
        <v>25</v>
      </c>
      <c r="Q37">
        <v>2543409</v>
      </c>
      <c r="R37" t="s">
        <v>26</v>
      </c>
      <c r="S37" t="s">
        <v>74</v>
      </c>
      <c r="T37" t="s">
        <v>34</v>
      </c>
    </row>
    <row r="38" spans="1:20" x14ac:dyDescent="0.3">
      <c r="A38" t="s">
        <v>123</v>
      </c>
      <c r="B38" s="1">
        <v>45860</v>
      </c>
      <c r="C38" s="1" t="s">
        <v>1327</v>
      </c>
      <c r="D38" t="s">
        <v>124</v>
      </c>
      <c r="E38" t="s">
        <v>37</v>
      </c>
      <c r="F38" t="s">
        <v>64</v>
      </c>
      <c r="G38" t="s">
        <v>68</v>
      </c>
      <c r="H38" t="s">
        <v>24</v>
      </c>
      <c r="I38">
        <v>0</v>
      </c>
      <c r="J38">
        <v>0</v>
      </c>
      <c r="K38">
        <v>0</v>
      </c>
      <c r="L38">
        <v>0</v>
      </c>
      <c r="M38">
        <v>8075.07</v>
      </c>
      <c r="N38">
        <v>333</v>
      </c>
      <c r="O38">
        <v>36</v>
      </c>
      <c r="P38" t="s">
        <v>32</v>
      </c>
      <c r="Q38">
        <v>2912977</v>
      </c>
      <c r="R38" t="s">
        <v>49</v>
      </c>
      <c r="S38" t="s">
        <v>27</v>
      </c>
      <c r="T38" t="s">
        <v>28</v>
      </c>
    </row>
    <row r="39" spans="1:20" x14ac:dyDescent="0.3">
      <c r="A39" t="s">
        <v>125</v>
      </c>
      <c r="B39" s="1">
        <v>45675</v>
      </c>
      <c r="C39" s="1" t="s">
        <v>1321</v>
      </c>
      <c r="D39" t="s">
        <v>126</v>
      </c>
      <c r="E39" t="s">
        <v>77</v>
      </c>
      <c r="F39" t="s">
        <v>21</v>
      </c>
      <c r="G39" t="s">
        <v>23</v>
      </c>
      <c r="H39" t="s">
        <v>56</v>
      </c>
      <c r="I39">
        <v>15383</v>
      </c>
      <c r="J39">
        <v>0</v>
      </c>
      <c r="K39">
        <v>0</v>
      </c>
      <c r="L39">
        <v>0</v>
      </c>
      <c r="M39">
        <v>0</v>
      </c>
      <c r="N39">
        <v>520</v>
      </c>
      <c r="O39">
        <v>70</v>
      </c>
      <c r="P39" t="s">
        <v>32</v>
      </c>
      <c r="Q39">
        <v>676010</v>
      </c>
      <c r="R39" t="s">
        <v>49</v>
      </c>
      <c r="S39" t="s">
        <v>27</v>
      </c>
      <c r="T39" t="s">
        <v>41</v>
      </c>
    </row>
    <row r="40" spans="1:20" x14ac:dyDescent="0.3">
      <c r="A40" t="s">
        <v>127</v>
      </c>
      <c r="B40" s="1">
        <v>45703</v>
      </c>
      <c r="C40" s="1" t="s">
        <v>1322</v>
      </c>
      <c r="D40" t="s">
        <v>36</v>
      </c>
      <c r="E40" t="s">
        <v>48</v>
      </c>
      <c r="F40" t="s">
        <v>22</v>
      </c>
      <c r="G40" t="s">
        <v>68</v>
      </c>
      <c r="H40" t="s">
        <v>52</v>
      </c>
      <c r="I40">
        <v>0</v>
      </c>
      <c r="J40">
        <v>0</v>
      </c>
      <c r="K40">
        <v>0</v>
      </c>
      <c r="L40">
        <v>43371</v>
      </c>
      <c r="M40">
        <v>0</v>
      </c>
      <c r="N40">
        <v>607</v>
      </c>
      <c r="O40">
        <v>46</v>
      </c>
      <c r="P40" t="s">
        <v>25</v>
      </c>
      <c r="Q40">
        <v>2885022</v>
      </c>
      <c r="R40" t="s">
        <v>49</v>
      </c>
      <c r="S40" t="s">
        <v>74</v>
      </c>
      <c r="T40" t="s">
        <v>45</v>
      </c>
    </row>
    <row r="41" spans="1:20" x14ac:dyDescent="0.3">
      <c r="A41" t="s">
        <v>128</v>
      </c>
      <c r="B41" s="1">
        <v>45870</v>
      </c>
      <c r="C41" s="1" t="s">
        <v>1328</v>
      </c>
      <c r="D41" t="s">
        <v>129</v>
      </c>
      <c r="E41" t="s">
        <v>21</v>
      </c>
      <c r="F41" t="s">
        <v>21</v>
      </c>
      <c r="G41" t="s">
        <v>39</v>
      </c>
      <c r="H41" t="s">
        <v>56</v>
      </c>
      <c r="I41">
        <v>60221</v>
      </c>
      <c r="J41">
        <v>0</v>
      </c>
      <c r="K41">
        <v>0</v>
      </c>
      <c r="L41">
        <v>0</v>
      </c>
      <c r="M41">
        <v>0</v>
      </c>
      <c r="N41">
        <v>538</v>
      </c>
      <c r="O41">
        <v>38</v>
      </c>
      <c r="P41" t="s">
        <v>25</v>
      </c>
      <c r="Q41">
        <v>1503542</v>
      </c>
      <c r="R41" t="s">
        <v>49</v>
      </c>
      <c r="S41" t="s">
        <v>27</v>
      </c>
      <c r="T41" t="s">
        <v>41</v>
      </c>
    </row>
    <row r="42" spans="1:20" x14ac:dyDescent="0.3">
      <c r="A42" t="s">
        <v>130</v>
      </c>
      <c r="B42" s="1">
        <v>45958</v>
      </c>
      <c r="C42" s="1" t="s">
        <v>1330</v>
      </c>
      <c r="D42" t="s">
        <v>85</v>
      </c>
      <c r="E42" t="s">
        <v>37</v>
      </c>
      <c r="F42" t="s">
        <v>22</v>
      </c>
      <c r="G42" t="s">
        <v>59</v>
      </c>
      <c r="H42" t="s">
        <v>40</v>
      </c>
      <c r="I42">
        <v>0</v>
      </c>
      <c r="J42">
        <v>72638</v>
      </c>
      <c r="K42">
        <v>0</v>
      </c>
      <c r="L42">
        <v>0</v>
      </c>
      <c r="M42">
        <v>0</v>
      </c>
      <c r="N42">
        <v>515</v>
      </c>
      <c r="O42">
        <v>63</v>
      </c>
      <c r="P42" t="s">
        <v>32</v>
      </c>
      <c r="Q42">
        <v>1085149</v>
      </c>
      <c r="R42" t="s">
        <v>49</v>
      </c>
      <c r="S42" t="s">
        <v>27</v>
      </c>
      <c r="T42" t="s">
        <v>34</v>
      </c>
    </row>
    <row r="43" spans="1:20" x14ac:dyDescent="0.3">
      <c r="A43" t="s">
        <v>131</v>
      </c>
      <c r="B43" s="1">
        <v>45922</v>
      </c>
      <c r="C43" s="1" t="s">
        <v>1329</v>
      </c>
      <c r="D43" t="s">
        <v>132</v>
      </c>
      <c r="E43" t="s">
        <v>48</v>
      </c>
      <c r="F43" t="s">
        <v>21</v>
      </c>
      <c r="G43" t="s">
        <v>23</v>
      </c>
      <c r="H43" t="s">
        <v>56</v>
      </c>
      <c r="I43">
        <v>14218</v>
      </c>
      <c r="J43">
        <v>0</v>
      </c>
      <c r="K43">
        <v>0</v>
      </c>
      <c r="L43">
        <v>0</v>
      </c>
      <c r="M43">
        <v>0</v>
      </c>
      <c r="N43">
        <v>656</v>
      </c>
      <c r="O43">
        <v>26</v>
      </c>
      <c r="P43" t="s">
        <v>32</v>
      </c>
      <c r="Q43">
        <v>2125291</v>
      </c>
      <c r="R43" t="s">
        <v>49</v>
      </c>
      <c r="S43" t="s">
        <v>27</v>
      </c>
      <c r="T43" t="s">
        <v>41</v>
      </c>
    </row>
    <row r="44" spans="1:20" x14ac:dyDescent="0.3">
      <c r="A44" t="s">
        <v>133</v>
      </c>
      <c r="B44" s="1">
        <v>45825</v>
      </c>
      <c r="C44" s="1" t="s">
        <v>1326</v>
      </c>
      <c r="D44" t="s">
        <v>134</v>
      </c>
      <c r="E44" t="s">
        <v>37</v>
      </c>
      <c r="F44" t="s">
        <v>64</v>
      </c>
      <c r="G44" t="s">
        <v>68</v>
      </c>
      <c r="H44" t="s">
        <v>40</v>
      </c>
      <c r="I44">
        <v>0</v>
      </c>
      <c r="J44">
        <v>46560</v>
      </c>
      <c r="K44">
        <v>0</v>
      </c>
      <c r="L44">
        <v>0</v>
      </c>
      <c r="M44">
        <v>0</v>
      </c>
      <c r="N44">
        <v>405</v>
      </c>
      <c r="O44">
        <v>45</v>
      </c>
      <c r="P44" t="s">
        <v>25</v>
      </c>
      <c r="Q44">
        <v>496288</v>
      </c>
      <c r="R44" t="s">
        <v>49</v>
      </c>
      <c r="S44" t="s">
        <v>27</v>
      </c>
      <c r="T44" t="s">
        <v>28</v>
      </c>
    </row>
    <row r="45" spans="1:20" x14ac:dyDescent="0.3">
      <c r="A45" t="s">
        <v>135</v>
      </c>
      <c r="B45" s="1">
        <v>45938</v>
      </c>
      <c r="C45" s="1" t="s">
        <v>1330</v>
      </c>
      <c r="D45" t="s">
        <v>136</v>
      </c>
      <c r="E45" t="s">
        <v>21</v>
      </c>
      <c r="F45" t="s">
        <v>64</v>
      </c>
      <c r="G45" t="s">
        <v>59</v>
      </c>
      <c r="H45" t="s">
        <v>56</v>
      </c>
      <c r="I45">
        <v>156208</v>
      </c>
      <c r="J45">
        <v>0</v>
      </c>
      <c r="K45">
        <v>0</v>
      </c>
      <c r="L45">
        <v>0</v>
      </c>
      <c r="M45">
        <v>0</v>
      </c>
      <c r="N45">
        <v>832</v>
      </c>
      <c r="O45">
        <v>30</v>
      </c>
      <c r="P45" t="s">
        <v>32</v>
      </c>
      <c r="Q45">
        <v>675385</v>
      </c>
      <c r="R45" t="s">
        <v>26</v>
      </c>
      <c r="S45" t="s">
        <v>27</v>
      </c>
      <c r="T45" t="s">
        <v>28</v>
      </c>
    </row>
    <row r="46" spans="1:20" x14ac:dyDescent="0.3">
      <c r="A46" t="s">
        <v>137</v>
      </c>
      <c r="B46" s="1">
        <v>45779</v>
      </c>
      <c r="C46" s="1" t="s">
        <v>1325</v>
      </c>
      <c r="D46" t="s">
        <v>138</v>
      </c>
      <c r="E46" t="s">
        <v>77</v>
      </c>
      <c r="F46" t="s">
        <v>21</v>
      </c>
      <c r="G46" t="s">
        <v>68</v>
      </c>
      <c r="H46" t="s">
        <v>31</v>
      </c>
      <c r="I46">
        <v>0</v>
      </c>
      <c r="J46">
        <v>0</v>
      </c>
      <c r="K46">
        <v>1919171</v>
      </c>
      <c r="L46">
        <v>0</v>
      </c>
      <c r="M46">
        <v>0</v>
      </c>
      <c r="N46">
        <v>392</v>
      </c>
      <c r="O46">
        <v>41</v>
      </c>
      <c r="P46" t="s">
        <v>32</v>
      </c>
      <c r="Q46">
        <v>2902739</v>
      </c>
      <c r="R46" t="s">
        <v>26</v>
      </c>
      <c r="S46" t="s">
        <v>33</v>
      </c>
      <c r="T46" t="s">
        <v>45</v>
      </c>
    </row>
    <row r="47" spans="1:20" x14ac:dyDescent="0.3">
      <c r="A47" t="s">
        <v>139</v>
      </c>
      <c r="B47" s="1">
        <v>45659</v>
      </c>
      <c r="C47" s="1" t="s">
        <v>1321</v>
      </c>
      <c r="D47" t="s">
        <v>140</v>
      </c>
      <c r="E47" t="s">
        <v>77</v>
      </c>
      <c r="F47" t="s">
        <v>44</v>
      </c>
      <c r="G47" t="s">
        <v>68</v>
      </c>
      <c r="H47" t="s">
        <v>31</v>
      </c>
      <c r="I47">
        <v>0</v>
      </c>
      <c r="J47">
        <v>0</v>
      </c>
      <c r="K47">
        <v>1752912</v>
      </c>
      <c r="L47">
        <v>0</v>
      </c>
      <c r="M47">
        <v>0</v>
      </c>
      <c r="N47">
        <v>827</v>
      </c>
      <c r="O47">
        <v>47</v>
      </c>
      <c r="P47" t="s">
        <v>32</v>
      </c>
      <c r="Q47">
        <v>895359</v>
      </c>
      <c r="R47" t="s">
        <v>26</v>
      </c>
      <c r="S47" t="s">
        <v>33</v>
      </c>
      <c r="T47" t="s">
        <v>60</v>
      </c>
    </row>
    <row r="48" spans="1:20" x14ac:dyDescent="0.3">
      <c r="A48" t="s">
        <v>141</v>
      </c>
      <c r="B48" s="1">
        <v>45734</v>
      </c>
      <c r="C48" s="1" t="s">
        <v>1323</v>
      </c>
      <c r="D48" t="s">
        <v>82</v>
      </c>
      <c r="E48" t="s">
        <v>21</v>
      </c>
      <c r="F48" t="s">
        <v>44</v>
      </c>
      <c r="G48" t="s">
        <v>39</v>
      </c>
      <c r="H48" t="s">
        <v>24</v>
      </c>
      <c r="I48">
        <v>0</v>
      </c>
      <c r="J48">
        <v>0</v>
      </c>
      <c r="K48">
        <v>0</v>
      </c>
      <c r="L48">
        <v>0</v>
      </c>
      <c r="M48">
        <v>8110.99</v>
      </c>
      <c r="N48">
        <v>875</v>
      </c>
      <c r="O48">
        <v>64</v>
      </c>
      <c r="P48" t="s">
        <v>32</v>
      </c>
      <c r="Q48">
        <v>2867863</v>
      </c>
      <c r="R48" t="s">
        <v>49</v>
      </c>
      <c r="S48" t="s">
        <v>27</v>
      </c>
      <c r="T48" t="s">
        <v>34</v>
      </c>
    </row>
    <row r="49" spans="1:20" x14ac:dyDescent="0.3">
      <c r="A49" t="s">
        <v>142</v>
      </c>
      <c r="B49" s="1">
        <v>45662</v>
      </c>
      <c r="C49" s="1" t="s">
        <v>1321</v>
      </c>
      <c r="D49" t="s">
        <v>134</v>
      </c>
      <c r="E49" t="s">
        <v>77</v>
      </c>
      <c r="F49" t="s">
        <v>22</v>
      </c>
      <c r="G49" t="s">
        <v>23</v>
      </c>
      <c r="H49" t="s">
        <v>24</v>
      </c>
      <c r="I49">
        <v>0</v>
      </c>
      <c r="J49">
        <v>0</v>
      </c>
      <c r="K49">
        <v>0</v>
      </c>
      <c r="L49">
        <v>0</v>
      </c>
      <c r="M49">
        <v>8117.18</v>
      </c>
      <c r="N49">
        <v>575</v>
      </c>
      <c r="O49">
        <v>34</v>
      </c>
      <c r="P49" t="s">
        <v>32</v>
      </c>
      <c r="Q49">
        <v>1790620</v>
      </c>
      <c r="R49" t="s">
        <v>26</v>
      </c>
      <c r="S49" t="s">
        <v>27</v>
      </c>
      <c r="T49" t="s">
        <v>41</v>
      </c>
    </row>
    <row r="50" spans="1:20" x14ac:dyDescent="0.3">
      <c r="A50" t="s">
        <v>143</v>
      </c>
      <c r="B50" s="1">
        <v>45792</v>
      </c>
      <c r="C50" s="1" t="s">
        <v>1325</v>
      </c>
      <c r="D50" t="s">
        <v>54</v>
      </c>
      <c r="E50" t="s">
        <v>77</v>
      </c>
      <c r="F50" t="s">
        <v>38</v>
      </c>
      <c r="G50" t="s">
        <v>39</v>
      </c>
      <c r="H50" t="s">
        <v>24</v>
      </c>
      <c r="I50">
        <v>0</v>
      </c>
      <c r="J50">
        <v>0</v>
      </c>
      <c r="K50">
        <v>0</v>
      </c>
      <c r="L50">
        <v>0</v>
      </c>
      <c r="M50">
        <v>9623.5499999999993</v>
      </c>
      <c r="N50">
        <v>611</v>
      </c>
      <c r="O50">
        <v>54</v>
      </c>
      <c r="P50" t="s">
        <v>25</v>
      </c>
      <c r="Q50">
        <v>747200</v>
      </c>
      <c r="R50" t="s">
        <v>26</v>
      </c>
      <c r="S50" t="s">
        <v>27</v>
      </c>
      <c r="T50" t="s">
        <v>34</v>
      </c>
    </row>
    <row r="51" spans="1:20" x14ac:dyDescent="0.3">
      <c r="A51" t="s">
        <v>144</v>
      </c>
      <c r="B51" s="1">
        <v>45796</v>
      </c>
      <c r="C51" s="1" t="s">
        <v>1325</v>
      </c>
      <c r="D51" t="s">
        <v>145</v>
      </c>
      <c r="E51" t="s">
        <v>21</v>
      </c>
      <c r="F51" t="s">
        <v>21</v>
      </c>
      <c r="G51" t="s">
        <v>39</v>
      </c>
      <c r="H51" t="s">
        <v>24</v>
      </c>
      <c r="I51">
        <v>0</v>
      </c>
      <c r="J51">
        <v>0</v>
      </c>
      <c r="K51">
        <v>0</v>
      </c>
      <c r="L51">
        <v>0</v>
      </c>
      <c r="M51">
        <v>474.09</v>
      </c>
      <c r="N51">
        <v>691</v>
      </c>
      <c r="O51">
        <v>54</v>
      </c>
      <c r="P51" t="s">
        <v>25</v>
      </c>
      <c r="Q51">
        <v>1056006</v>
      </c>
      <c r="R51" t="s">
        <v>49</v>
      </c>
      <c r="S51" t="s">
        <v>27</v>
      </c>
      <c r="T51" t="s">
        <v>60</v>
      </c>
    </row>
    <row r="52" spans="1:20" x14ac:dyDescent="0.3">
      <c r="A52" t="s">
        <v>146</v>
      </c>
      <c r="B52" s="1">
        <v>45712</v>
      </c>
      <c r="C52" s="1" t="s">
        <v>1322</v>
      </c>
      <c r="D52" t="s">
        <v>30</v>
      </c>
      <c r="E52" t="s">
        <v>77</v>
      </c>
      <c r="F52" t="s">
        <v>64</v>
      </c>
      <c r="G52" t="s">
        <v>23</v>
      </c>
      <c r="H52" t="s">
        <v>31</v>
      </c>
      <c r="I52">
        <v>0</v>
      </c>
      <c r="J52">
        <v>0</v>
      </c>
      <c r="K52">
        <v>1353757</v>
      </c>
      <c r="L52">
        <v>0</v>
      </c>
      <c r="M52">
        <v>0</v>
      </c>
      <c r="N52">
        <v>301</v>
      </c>
      <c r="O52">
        <v>57</v>
      </c>
      <c r="P52" t="s">
        <v>32</v>
      </c>
      <c r="Q52">
        <v>2553898</v>
      </c>
      <c r="R52" t="s">
        <v>26</v>
      </c>
      <c r="S52" t="s">
        <v>65</v>
      </c>
      <c r="T52" t="s">
        <v>34</v>
      </c>
    </row>
    <row r="53" spans="1:20" x14ac:dyDescent="0.3">
      <c r="A53" t="s">
        <v>147</v>
      </c>
      <c r="B53" s="1">
        <v>45686</v>
      </c>
      <c r="C53" s="1" t="s">
        <v>1321</v>
      </c>
      <c r="D53" t="s">
        <v>148</v>
      </c>
      <c r="E53" t="s">
        <v>37</v>
      </c>
      <c r="F53" t="s">
        <v>64</v>
      </c>
      <c r="G53" t="s">
        <v>68</v>
      </c>
      <c r="H53" t="s">
        <v>24</v>
      </c>
      <c r="I53">
        <v>0</v>
      </c>
      <c r="J53">
        <v>0</v>
      </c>
      <c r="K53">
        <v>0</v>
      </c>
      <c r="L53">
        <v>0</v>
      </c>
      <c r="M53">
        <v>7036.72</v>
      </c>
      <c r="N53">
        <v>590</v>
      </c>
      <c r="O53">
        <v>45</v>
      </c>
      <c r="P53" t="s">
        <v>25</v>
      </c>
      <c r="Q53">
        <v>1722207</v>
      </c>
      <c r="R53" t="s">
        <v>49</v>
      </c>
      <c r="S53" t="s">
        <v>27</v>
      </c>
      <c r="T53" t="s">
        <v>41</v>
      </c>
    </row>
    <row r="54" spans="1:20" x14ac:dyDescent="0.3">
      <c r="A54" t="s">
        <v>149</v>
      </c>
      <c r="B54" s="1">
        <v>45720</v>
      </c>
      <c r="C54" s="1" t="s">
        <v>1323</v>
      </c>
      <c r="D54" t="s">
        <v>150</v>
      </c>
      <c r="E54" t="s">
        <v>1338</v>
      </c>
      <c r="F54" t="s">
        <v>64</v>
      </c>
      <c r="G54" t="s">
        <v>39</v>
      </c>
      <c r="H54" t="s">
        <v>56</v>
      </c>
      <c r="I54">
        <v>99266</v>
      </c>
      <c r="J54">
        <v>0</v>
      </c>
      <c r="K54">
        <v>0</v>
      </c>
      <c r="L54">
        <v>0</v>
      </c>
      <c r="M54">
        <v>0</v>
      </c>
      <c r="N54">
        <v>779</v>
      </c>
      <c r="O54">
        <v>33</v>
      </c>
      <c r="P54" t="s">
        <v>32</v>
      </c>
      <c r="Q54">
        <v>2137848</v>
      </c>
      <c r="R54" t="s">
        <v>49</v>
      </c>
      <c r="S54" t="s">
        <v>27</v>
      </c>
      <c r="T54" t="s">
        <v>34</v>
      </c>
    </row>
    <row r="55" spans="1:20" x14ac:dyDescent="0.3">
      <c r="A55" t="s">
        <v>151</v>
      </c>
      <c r="B55" s="1">
        <v>45825</v>
      </c>
      <c r="C55" s="1" t="s">
        <v>1326</v>
      </c>
      <c r="D55" t="s">
        <v>152</v>
      </c>
      <c r="E55" t="s">
        <v>55</v>
      </c>
      <c r="F55" t="s">
        <v>38</v>
      </c>
      <c r="G55" t="s">
        <v>39</v>
      </c>
      <c r="H55" t="s">
        <v>40</v>
      </c>
      <c r="I55">
        <v>0</v>
      </c>
      <c r="J55">
        <v>57267</v>
      </c>
      <c r="K55">
        <v>0</v>
      </c>
      <c r="L55">
        <v>0</v>
      </c>
      <c r="M55">
        <v>0</v>
      </c>
      <c r="N55">
        <v>572</v>
      </c>
      <c r="O55">
        <v>30</v>
      </c>
      <c r="P55" t="s">
        <v>25</v>
      </c>
      <c r="Q55">
        <v>2977973</v>
      </c>
      <c r="R55" t="s">
        <v>26</v>
      </c>
      <c r="S55" t="s">
        <v>27</v>
      </c>
      <c r="T55" t="s">
        <v>45</v>
      </c>
    </row>
    <row r="56" spans="1:20" x14ac:dyDescent="0.3">
      <c r="A56" t="s">
        <v>153</v>
      </c>
      <c r="B56" s="1">
        <v>45952</v>
      </c>
      <c r="C56" s="1" t="s">
        <v>1330</v>
      </c>
      <c r="D56" t="s">
        <v>30</v>
      </c>
      <c r="E56" t="s">
        <v>37</v>
      </c>
      <c r="F56" t="s">
        <v>64</v>
      </c>
      <c r="G56" t="s">
        <v>59</v>
      </c>
      <c r="H56" t="s">
        <v>40</v>
      </c>
      <c r="I56">
        <v>0</v>
      </c>
      <c r="J56">
        <v>82076</v>
      </c>
      <c r="K56">
        <v>0</v>
      </c>
      <c r="L56">
        <v>0</v>
      </c>
      <c r="M56">
        <v>0</v>
      </c>
      <c r="N56">
        <v>460</v>
      </c>
      <c r="O56">
        <v>68</v>
      </c>
      <c r="P56" t="s">
        <v>25</v>
      </c>
      <c r="Q56">
        <v>2619288</v>
      </c>
      <c r="R56" t="s">
        <v>26</v>
      </c>
      <c r="S56" t="s">
        <v>27</v>
      </c>
      <c r="T56" t="s">
        <v>45</v>
      </c>
    </row>
    <row r="57" spans="1:20" x14ac:dyDescent="0.3">
      <c r="A57" t="s">
        <v>154</v>
      </c>
      <c r="B57" s="1">
        <v>45943</v>
      </c>
      <c r="C57" s="1" t="s">
        <v>1330</v>
      </c>
      <c r="D57" t="s">
        <v>155</v>
      </c>
      <c r="E57" t="s">
        <v>63</v>
      </c>
      <c r="F57" t="s">
        <v>21</v>
      </c>
      <c r="G57" t="s">
        <v>39</v>
      </c>
      <c r="H57" t="s">
        <v>24</v>
      </c>
      <c r="I57">
        <v>0</v>
      </c>
      <c r="J57">
        <v>0</v>
      </c>
      <c r="K57">
        <v>0</v>
      </c>
      <c r="L57">
        <v>0</v>
      </c>
      <c r="M57">
        <v>4390.28</v>
      </c>
      <c r="N57">
        <v>716</v>
      </c>
      <c r="O57">
        <v>49</v>
      </c>
      <c r="P57" t="s">
        <v>32</v>
      </c>
      <c r="Q57">
        <v>2026587</v>
      </c>
      <c r="R57" t="s">
        <v>49</v>
      </c>
      <c r="S57" t="s">
        <v>27</v>
      </c>
      <c r="T57" t="s">
        <v>28</v>
      </c>
    </row>
    <row r="58" spans="1:20" x14ac:dyDescent="0.3">
      <c r="A58" t="s">
        <v>156</v>
      </c>
      <c r="B58" s="1">
        <v>45893</v>
      </c>
      <c r="C58" s="1" t="s">
        <v>1328</v>
      </c>
      <c r="D58" t="s">
        <v>157</v>
      </c>
      <c r="E58" t="s">
        <v>55</v>
      </c>
      <c r="F58" t="s">
        <v>21</v>
      </c>
      <c r="G58" t="s">
        <v>39</v>
      </c>
      <c r="H58" t="s">
        <v>56</v>
      </c>
      <c r="I58">
        <v>131782</v>
      </c>
      <c r="J58">
        <v>0</v>
      </c>
      <c r="K58">
        <v>0</v>
      </c>
      <c r="L58">
        <v>0</v>
      </c>
      <c r="M58">
        <v>0</v>
      </c>
      <c r="N58">
        <v>685</v>
      </c>
      <c r="O58">
        <v>35</v>
      </c>
      <c r="P58" t="s">
        <v>32</v>
      </c>
      <c r="Q58">
        <v>605774</v>
      </c>
      <c r="R58" t="s">
        <v>26</v>
      </c>
      <c r="S58" t="s">
        <v>27</v>
      </c>
      <c r="T58" t="s">
        <v>28</v>
      </c>
    </row>
    <row r="59" spans="1:20" x14ac:dyDescent="0.3">
      <c r="A59" t="s">
        <v>158</v>
      </c>
      <c r="B59" s="1">
        <v>45731</v>
      </c>
      <c r="C59" s="1" t="s">
        <v>1323</v>
      </c>
      <c r="D59" t="s">
        <v>159</v>
      </c>
      <c r="E59" t="s">
        <v>37</v>
      </c>
      <c r="F59" t="s">
        <v>44</v>
      </c>
      <c r="G59" t="s">
        <v>39</v>
      </c>
      <c r="H59" t="s">
        <v>31</v>
      </c>
      <c r="I59">
        <v>0</v>
      </c>
      <c r="J59">
        <v>0</v>
      </c>
      <c r="K59">
        <v>1324999</v>
      </c>
      <c r="L59">
        <v>0</v>
      </c>
      <c r="M59">
        <v>0</v>
      </c>
      <c r="N59">
        <v>716</v>
      </c>
      <c r="O59">
        <v>31</v>
      </c>
      <c r="P59" t="s">
        <v>25</v>
      </c>
      <c r="Q59">
        <v>1797179</v>
      </c>
      <c r="R59" t="s">
        <v>26</v>
      </c>
      <c r="S59" t="s">
        <v>65</v>
      </c>
      <c r="T59" t="s">
        <v>45</v>
      </c>
    </row>
    <row r="60" spans="1:20" x14ac:dyDescent="0.3">
      <c r="A60" t="s">
        <v>160</v>
      </c>
      <c r="B60" s="1">
        <v>46022</v>
      </c>
      <c r="C60" s="1" t="s">
        <v>1332</v>
      </c>
      <c r="D60" t="s">
        <v>161</v>
      </c>
      <c r="E60" t="s">
        <v>21</v>
      </c>
      <c r="F60" t="s">
        <v>38</v>
      </c>
      <c r="G60" t="s">
        <v>23</v>
      </c>
      <c r="H60" t="s">
        <v>40</v>
      </c>
      <c r="I60">
        <v>0</v>
      </c>
      <c r="J60">
        <v>40133</v>
      </c>
      <c r="K60">
        <v>0</v>
      </c>
      <c r="L60">
        <v>0</v>
      </c>
      <c r="M60">
        <v>0</v>
      </c>
      <c r="N60">
        <v>860</v>
      </c>
      <c r="O60">
        <v>33</v>
      </c>
      <c r="P60" t="s">
        <v>32</v>
      </c>
      <c r="Q60">
        <v>2695882</v>
      </c>
      <c r="R60" t="s">
        <v>49</v>
      </c>
      <c r="S60" t="s">
        <v>27</v>
      </c>
      <c r="T60" t="s">
        <v>28</v>
      </c>
    </row>
    <row r="61" spans="1:20" x14ac:dyDescent="0.3">
      <c r="A61" t="s">
        <v>162</v>
      </c>
      <c r="B61" s="1">
        <v>45986</v>
      </c>
      <c r="C61" s="1" t="s">
        <v>1331</v>
      </c>
      <c r="D61" t="s">
        <v>163</v>
      </c>
      <c r="E61" t="s">
        <v>55</v>
      </c>
      <c r="F61" t="s">
        <v>38</v>
      </c>
      <c r="G61" t="s">
        <v>23</v>
      </c>
      <c r="H61" t="s">
        <v>40</v>
      </c>
      <c r="I61">
        <v>0</v>
      </c>
      <c r="J61">
        <v>16174</v>
      </c>
      <c r="K61">
        <v>0</v>
      </c>
      <c r="L61">
        <v>0</v>
      </c>
      <c r="M61">
        <v>0</v>
      </c>
      <c r="N61">
        <v>723</v>
      </c>
      <c r="O61">
        <v>56</v>
      </c>
      <c r="P61" t="s">
        <v>25</v>
      </c>
      <c r="Q61">
        <v>2965425</v>
      </c>
      <c r="R61" t="s">
        <v>49</v>
      </c>
      <c r="S61" t="s">
        <v>27</v>
      </c>
      <c r="T61" t="s">
        <v>41</v>
      </c>
    </row>
    <row r="62" spans="1:20" x14ac:dyDescent="0.3">
      <c r="A62" t="s">
        <v>164</v>
      </c>
      <c r="B62" s="1">
        <v>45758</v>
      </c>
      <c r="C62" s="1" t="s">
        <v>1324</v>
      </c>
      <c r="D62" t="s">
        <v>165</v>
      </c>
      <c r="E62" t="s">
        <v>48</v>
      </c>
      <c r="F62" t="s">
        <v>21</v>
      </c>
      <c r="G62" t="s">
        <v>39</v>
      </c>
      <c r="H62" t="s">
        <v>56</v>
      </c>
      <c r="I62">
        <v>2109</v>
      </c>
      <c r="J62">
        <v>0</v>
      </c>
      <c r="K62">
        <v>0</v>
      </c>
      <c r="L62">
        <v>0</v>
      </c>
      <c r="M62">
        <v>0</v>
      </c>
      <c r="N62">
        <v>640</v>
      </c>
      <c r="O62">
        <v>25</v>
      </c>
      <c r="P62" t="s">
        <v>32</v>
      </c>
      <c r="Q62">
        <v>1810956</v>
      </c>
      <c r="R62" t="s">
        <v>26</v>
      </c>
      <c r="S62" t="s">
        <v>27</v>
      </c>
      <c r="T62" t="s">
        <v>34</v>
      </c>
    </row>
    <row r="63" spans="1:20" x14ac:dyDescent="0.3">
      <c r="A63" t="s">
        <v>166</v>
      </c>
      <c r="B63" s="1">
        <v>45958</v>
      </c>
      <c r="C63" s="1" t="s">
        <v>1330</v>
      </c>
      <c r="D63" t="s">
        <v>167</v>
      </c>
      <c r="E63" t="s">
        <v>63</v>
      </c>
      <c r="F63" t="s">
        <v>64</v>
      </c>
      <c r="G63" t="s">
        <v>68</v>
      </c>
      <c r="H63" t="s">
        <v>56</v>
      </c>
      <c r="I63">
        <v>69237</v>
      </c>
      <c r="J63">
        <v>0</v>
      </c>
      <c r="K63">
        <v>0</v>
      </c>
      <c r="L63">
        <v>0</v>
      </c>
      <c r="M63">
        <v>0</v>
      </c>
      <c r="N63">
        <v>374</v>
      </c>
      <c r="O63">
        <v>44</v>
      </c>
      <c r="P63" t="s">
        <v>25</v>
      </c>
      <c r="Q63">
        <v>2371495</v>
      </c>
      <c r="R63" t="s">
        <v>49</v>
      </c>
      <c r="S63" t="s">
        <v>27</v>
      </c>
      <c r="T63" t="s">
        <v>41</v>
      </c>
    </row>
    <row r="64" spans="1:20" x14ac:dyDescent="0.3">
      <c r="A64" t="s">
        <v>168</v>
      </c>
      <c r="B64" s="1">
        <v>45973</v>
      </c>
      <c r="C64" s="1" t="s">
        <v>1331</v>
      </c>
      <c r="D64" t="s">
        <v>169</v>
      </c>
      <c r="E64" t="s">
        <v>77</v>
      </c>
      <c r="F64" t="s">
        <v>22</v>
      </c>
      <c r="G64" t="s">
        <v>39</v>
      </c>
      <c r="H64" t="s">
        <v>24</v>
      </c>
      <c r="I64">
        <v>0</v>
      </c>
      <c r="J64">
        <v>0</v>
      </c>
      <c r="K64">
        <v>0</v>
      </c>
      <c r="L64">
        <v>0</v>
      </c>
      <c r="M64">
        <v>2948.76</v>
      </c>
      <c r="N64">
        <v>338</v>
      </c>
      <c r="O64">
        <v>26</v>
      </c>
      <c r="P64" t="s">
        <v>25</v>
      </c>
      <c r="Q64">
        <v>2921366</v>
      </c>
      <c r="R64" t="s">
        <v>26</v>
      </c>
      <c r="S64" t="s">
        <v>27</v>
      </c>
      <c r="T64" t="s">
        <v>45</v>
      </c>
    </row>
    <row r="65" spans="1:20" x14ac:dyDescent="0.3">
      <c r="A65" t="s">
        <v>170</v>
      </c>
      <c r="B65" s="1">
        <v>45754</v>
      </c>
      <c r="C65" s="1" t="s">
        <v>1324</v>
      </c>
      <c r="D65" t="s">
        <v>171</v>
      </c>
      <c r="E65" t="s">
        <v>55</v>
      </c>
      <c r="F65" t="s">
        <v>22</v>
      </c>
      <c r="G65" t="s">
        <v>68</v>
      </c>
      <c r="H65" t="s">
        <v>40</v>
      </c>
      <c r="I65">
        <v>0</v>
      </c>
      <c r="J65">
        <v>57836</v>
      </c>
      <c r="K65">
        <v>0</v>
      </c>
      <c r="L65">
        <v>0</v>
      </c>
      <c r="M65">
        <v>0</v>
      </c>
      <c r="N65">
        <v>422</v>
      </c>
      <c r="O65">
        <v>23</v>
      </c>
      <c r="P65" t="s">
        <v>32</v>
      </c>
      <c r="Q65">
        <v>758553</v>
      </c>
      <c r="R65" t="s">
        <v>26</v>
      </c>
      <c r="S65" t="s">
        <v>27</v>
      </c>
      <c r="T65" t="s">
        <v>45</v>
      </c>
    </row>
    <row r="66" spans="1:20" x14ac:dyDescent="0.3">
      <c r="A66" t="s">
        <v>172</v>
      </c>
      <c r="B66" s="1">
        <v>45933</v>
      </c>
      <c r="C66" s="1" t="s">
        <v>1330</v>
      </c>
      <c r="D66" t="s">
        <v>173</v>
      </c>
      <c r="E66" t="s">
        <v>63</v>
      </c>
      <c r="F66" t="s">
        <v>22</v>
      </c>
      <c r="G66" t="s">
        <v>59</v>
      </c>
      <c r="H66" t="s">
        <v>40</v>
      </c>
      <c r="I66">
        <v>0</v>
      </c>
      <c r="J66">
        <v>51568</v>
      </c>
      <c r="K66">
        <v>0</v>
      </c>
      <c r="L66">
        <v>0</v>
      </c>
      <c r="M66">
        <v>0</v>
      </c>
      <c r="N66">
        <v>337</v>
      </c>
      <c r="O66">
        <v>63</v>
      </c>
      <c r="P66" t="s">
        <v>25</v>
      </c>
      <c r="Q66">
        <v>1978040</v>
      </c>
      <c r="R66" t="s">
        <v>26</v>
      </c>
      <c r="S66" t="s">
        <v>27</v>
      </c>
      <c r="T66" t="s">
        <v>45</v>
      </c>
    </row>
    <row r="67" spans="1:20" x14ac:dyDescent="0.3">
      <c r="A67" t="s">
        <v>174</v>
      </c>
      <c r="B67" s="1">
        <v>45928</v>
      </c>
      <c r="C67" s="1" t="s">
        <v>1329</v>
      </c>
      <c r="D67" t="s">
        <v>175</v>
      </c>
      <c r="E67" t="s">
        <v>55</v>
      </c>
      <c r="F67" t="s">
        <v>38</v>
      </c>
      <c r="G67" t="s">
        <v>68</v>
      </c>
      <c r="H67" t="s">
        <v>24</v>
      </c>
      <c r="I67">
        <v>0</v>
      </c>
      <c r="J67">
        <v>0</v>
      </c>
      <c r="K67">
        <v>0</v>
      </c>
      <c r="L67">
        <v>0</v>
      </c>
      <c r="M67">
        <v>4413.1099999999997</v>
      </c>
      <c r="N67">
        <v>484</v>
      </c>
      <c r="O67">
        <v>58</v>
      </c>
      <c r="P67" t="s">
        <v>32</v>
      </c>
      <c r="Q67">
        <v>2930889</v>
      </c>
      <c r="R67" t="s">
        <v>49</v>
      </c>
      <c r="S67" t="s">
        <v>27</v>
      </c>
      <c r="T67" t="s">
        <v>60</v>
      </c>
    </row>
    <row r="68" spans="1:20" x14ac:dyDescent="0.3">
      <c r="A68" t="s">
        <v>176</v>
      </c>
      <c r="B68" s="1">
        <v>45857</v>
      </c>
      <c r="C68" s="1" t="s">
        <v>1327</v>
      </c>
      <c r="D68" t="s">
        <v>177</v>
      </c>
      <c r="E68" t="s">
        <v>21</v>
      </c>
      <c r="F68" t="s">
        <v>44</v>
      </c>
      <c r="G68" t="s">
        <v>23</v>
      </c>
      <c r="H68" t="s">
        <v>52</v>
      </c>
      <c r="I68">
        <v>0</v>
      </c>
      <c r="J68">
        <v>0</v>
      </c>
      <c r="K68">
        <v>0</v>
      </c>
      <c r="L68">
        <v>38986</v>
      </c>
      <c r="M68">
        <v>0</v>
      </c>
      <c r="N68">
        <v>592</v>
      </c>
      <c r="O68">
        <v>66</v>
      </c>
      <c r="P68" t="s">
        <v>25</v>
      </c>
      <c r="Q68">
        <v>1787767</v>
      </c>
      <c r="R68" t="s">
        <v>26</v>
      </c>
      <c r="S68" t="s">
        <v>74</v>
      </c>
      <c r="T68" t="s">
        <v>45</v>
      </c>
    </row>
    <row r="69" spans="1:20" x14ac:dyDescent="0.3">
      <c r="A69" t="s">
        <v>178</v>
      </c>
      <c r="B69" s="1">
        <v>45879</v>
      </c>
      <c r="C69" s="1" t="s">
        <v>1328</v>
      </c>
      <c r="D69" t="s">
        <v>179</v>
      </c>
      <c r="E69" t="s">
        <v>37</v>
      </c>
      <c r="F69" t="s">
        <v>22</v>
      </c>
      <c r="G69" t="s">
        <v>59</v>
      </c>
      <c r="H69" t="s">
        <v>24</v>
      </c>
      <c r="I69">
        <v>0</v>
      </c>
      <c r="J69">
        <v>0</v>
      </c>
      <c r="K69">
        <v>0</v>
      </c>
      <c r="L69">
        <v>0</v>
      </c>
      <c r="M69">
        <v>5558</v>
      </c>
      <c r="N69">
        <v>470</v>
      </c>
      <c r="O69">
        <v>61</v>
      </c>
      <c r="P69" t="s">
        <v>25</v>
      </c>
      <c r="Q69">
        <v>803991</v>
      </c>
      <c r="R69" t="s">
        <v>26</v>
      </c>
      <c r="S69" t="s">
        <v>27</v>
      </c>
      <c r="T69" t="s">
        <v>34</v>
      </c>
    </row>
    <row r="70" spans="1:20" x14ac:dyDescent="0.3">
      <c r="A70" t="s">
        <v>180</v>
      </c>
      <c r="B70" s="1">
        <v>45859</v>
      </c>
      <c r="C70" s="1" t="s">
        <v>1327</v>
      </c>
      <c r="D70" t="s">
        <v>181</v>
      </c>
      <c r="E70" t="s">
        <v>21</v>
      </c>
      <c r="F70" t="s">
        <v>38</v>
      </c>
      <c r="G70" t="s">
        <v>23</v>
      </c>
      <c r="H70" t="s">
        <v>31</v>
      </c>
      <c r="I70">
        <v>0</v>
      </c>
      <c r="J70">
        <v>0</v>
      </c>
      <c r="K70">
        <v>1953241</v>
      </c>
      <c r="L70">
        <v>0</v>
      </c>
      <c r="M70">
        <v>0</v>
      </c>
      <c r="N70">
        <v>585</v>
      </c>
      <c r="O70">
        <v>38</v>
      </c>
      <c r="P70" t="s">
        <v>25</v>
      </c>
      <c r="Q70">
        <v>1166308</v>
      </c>
      <c r="R70" t="s">
        <v>49</v>
      </c>
      <c r="S70" t="s">
        <v>65</v>
      </c>
      <c r="T70" t="s">
        <v>41</v>
      </c>
    </row>
    <row r="71" spans="1:20" x14ac:dyDescent="0.3">
      <c r="A71" t="s">
        <v>182</v>
      </c>
      <c r="B71" s="1">
        <v>45887</v>
      </c>
      <c r="C71" s="1" t="s">
        <v>1328</v>
      </c>
      <c r="D71" t="s">
        <v>183</v>
      </c>
      <c r="E71" t="s">
        <v>21</v>
      </c>
      <c r="F71" t="s">
        <v>22</v>
      </c>
      <c r="G71" t="s">
        <v>23</v>
      </c>
      <c r="H71" t="s">
        <v>31</v>
      </c>
      <c r="I71">
        <v>0</v>
      </c>
      <c r="J71">
        <v>0</v>
      </c>
      <c r="K71">
        <v>1044845</v>
      </c>
      <c r="L71">
        <v>0</v>
      </c>
      <c r="M71">
        <v>0</v>
      </c>
      <c r="N71">
        <v>750</v>
      </c>
      <c r="O71">
        <v>43</v>
      </c>
      <c r="P71" t="s">
        <v>25</v>
      </c>
      <c r="Q71">
        <v>2139785</v>
      </c>
      <c r="R71" t="s">
        <v>26</v>
      </c>
      <c r="S71" t="s">
        <v>33</v>
      </c>
      <c r="T71" t="s">
        <v>34</v>
      </c>
    </row>
    <row r="72" spans="1:20" x14ac:dyDescent="0.3">
      <c r="A72" t="s">
        <v>184</v>
      </c>
      <c r="B72" s="1">
        <v>45901</v>
      </c>
      <c r="C72" s="1" t="s">
        <v>1329</v>
      </c>
      <c r="D72" t="s">
        <v>112</v>
      </c>
      <c r="E72" t="s">
        <v>21</v>
      </c>
      <c r="F72" t="s">
        <v>21</v>
      </c>
      <c r="G72" t="s">
        <v>39</v>
      </c>
      <c r="H72" t="s">
        <v>31</v>
      </c>
      <c r="I72">
        <v>0</v>
      </c>
      <c r="J72">
        <v>0</v>
      </c>
      <c r="K72">
        <v>440668</v>
      </c>
      <c r="L72">
        <v>0</v>
      </c>
      <c r="M72">
        <v>0</v>
      </c>
      <c r="N72">
        <v>376</v>
      </c>
      <c r="O72">
        <v>44</v>
      </c>
      <c r="P72" t="s">
        <v>25</v>
      </c>
      <c r="Q72">
        <v>2751347</v>
      </c>
      <c r="R72" t="s">
        <v>26</v>
      </c>
      <c r="S72" t="s">
        <v>33</v>
      </c>
      <c r="T72" t="s">
        <v>45</v>
      </c>
    </row>
    <row r="73" spans="1:20" x14ac:dyDescent="0.3">
      <c r="A73" t="s">
        <v>185</v>
      </c>
      <c r="B73" s="1">
        <v>45706</v>
      </c>
      <c r="C73" s="1" t="s">
        <v>1322</v>
      </c>
      <c r="D73" t="s">
        <v>152</v>
      </c>
      <c r="E73" t="s">
        <v>63</v>
      </c>
      <c r="F73" t="s">
        <v>64</v>
      </c>
      <c r="G73" t="s">
        <v>39</v>
      </c>
      <c r="H73" t="s">
        <v>52</v>
      </c>
      <c r="I73">
        <v>0</v>
      </c>
      <c r="J73">
        <v>0</v>
      </c>
      <c r="K73">
        <v>0</v>
      </c>
      <c r="L73">
        <v>40391</v>
      </c>
      <c r="M73">
        <v>0</v>
      </c>
      <c r="N73">
        <v>430</v>
      </c>
      <c r="O73">
        <v>54</v>
      </c>
      <c r="P73" t="s">
        <v>32</v>
      </c>
      <c r="Q73">
        <v>1179093</v>
      </c>
      <c r="R73" t="s">
        <v>49</v>
      </c>
      <c r="S73" t="s">
        <v>71</v>
      </c>
      <c r="T73" t="s">
        <v>41</v>
      </c>
    </row>
    <row r="74" spans="1:20" x14ac:dyDescent="0.3">
      <c r="A74" t="s">
        <v>186</v>
      </c>
      <c r="B74" s="1">
        <v>45755</v>
      </c>
      <c r="C74" s="1" t="s">
        <v>1324</v>
      </c>
      <c r="D74" t="s">
        <v>187</v>
      </c>
      <c r="E74" t="s">
        <v>77</v>
      </c>
      <c r="F74" t="s">
        <v>64</v>
      </c>
      <c r="G74" t="s">
        <v>23</v>
      </c>
      <c r="H74" t="s">
        <v>31</v>
      </c>
      <c r="I74">
        <v>0</v>
      </c>
      <c r="J74">
        <v>0</v>
      </c>
      <c r="K74">
        <v>1067990</v>
      </c>
      <c r="L74">
        <v>0</v>
      </c>
      <c r="M74">
        <v>0</v>
      </c>
      <c r="N74">
        <v>845</v>
      </c>
      <c r="O74">
        <v>32</v>
      </c>
      <c r="P74" t="s">
        <v>32</v>
      </c>
      <c r="Q74">
        <v>1434660</v>
      </c>
      <c r="R74" t="s">
        <v>26</v>
      </c>
      <c r="S74" t="s">
        <v>65</v>
      </c>
      <c r="T74" t="s">
        <v>34</v>
      </c>
    </row>
    <row r="75" spans="1:20" x14ac:dyDescent="0.3">
      <c r="A75" t="s">
        <v>188</v>
      </c>
      <c r="B75" s="1">
        <v>45880</v>
      </c>
      <c r="C75" s="1" t="s">
        <v>1328</v>
      </c>
      <c r="D75" t="s">
        <v>189</v>
      </c>
      <c r="E75" t="s">
        <v>21</v>
      </c>
      <c r="F75" t="s">
        <v>44</v>
      </c>
      <c r="G75" t="s">
        <v>39</v>
      </c>
      <c r="H75" t="s">
        <v>56</v>
      </c>
      <c r="I75">
        <v>131773</v>
      </c>
      <c r="J75">
        <v>0</v>
      </c>
      <c r="K75">
        <v>0</v>
      </c>
      <c r="L75">
        <v>0</v>
      </c>
      <c r="M75">
        <v>0</v>
      </c>
      <c r="N75">
        <v>456</v>
      </c>
      <c r="O75">
        <v>39</v>
      </c>
      <c r="P75" t="s">
        <v>32</v>
      </c>
      <c r="Q75">
        <v>1215877</v>
      </c>
      <c r="R75" t="s">
        <v>26</v>
      </c>
      <c r="S75" t="s">
        <v>27</v>
      </c>
      <c r="T75" t="s">
        <v>28</v>
      </c>
    </row>
    <row r="76" spans="1:20" x14ac:dyDescent="0.3">
      <c r="A76" t="s">
        <v>190</v>
      </c>
      <c r="B76" s="1">
        <v>45721</v>
      </c>
      <c r="C76" s="1" t="s">
        <v>1323</v>
      </c>
      <c r="D76" t="s">
        <v>191</v>
      </c>
      <c r="E76" t="s">
        <v>48</v>
      </c>
      <c r="F76" t="s">
        <v>21</v>
      </c>
      <c r="G76" t="s">
        <v>23</v>
      </c>
      <c r="H76" t="s">
        <v>56</v>
      </c>
      <c r="I76">
        <v>188896</v>
      </c>
      <c r="J76">
        <v>0</v>
      </c>
      <c r="K76">
        <v>0</v>
      </c>
      <c r="L76">
        <v>0</v>
      </c>
      <c r="M76">
        <v>0</v>
      </c>
      <c r="N76">
        <v>683</v>
      </c>
      <c r="O76">
        <v>52</v>
      </c>
      <c r="P76" t="s">
        <v>32</v>
      </c>
      <c r="Q76">
        <v>1478345</v>
      </c>
      <c r="R76" t="s">
        <v>26</v>
      </c>
      <c r="S76" t="s">
        <v>27</v>
      </c>
      <c r="T76" t="s">
        <v>41</v>
      </c>
    </row>
    <row r="77" spans="1:20" x14ac:dyDescent="0.3">
      <c r="A77" t="s">
        <v>192</v>
      </c>
      <c r="B77" s="1">
        <v>45747</v>
      </c>
      <c r="C77" s="1" t="s">
        <v>1323</v>
      </c>
      <c r="D77" t="s">
        <v>155</v>
      </c>
      <c r="E77" t="s">
        <v>55</v>
      </c>
      <c r="F77" t="s">
        <v>38</v>
      </c>
      <c r="G77" t="s">
        <v>59</v>
      </c>
      <c r="H77" t="s">
        <v>24</v>
      </c>
      <c r="I77">
        <v>0</v>
      </c>
      <c r="J77">
        <v>0</v>
      </c>
      <c r="K77">
        <v>0</v>
      </c>
      <c r="L77">
        <v>0</v>
      </c>
      <c r="M77">
        <v>3551.48</v>
      </c>
      <c r="N77">
        <v>474</v>
      </c>
      <c r="O77">
        <v>33</v>
      </c>
      <c r="P77" t="s">
        <v>32</v>
      </c>
      <c r="Q77">
        <v>2516049</v>
      </c>
      <c r="R77" t="s">
        <v>49</v>
      </c>
      <c r="S77" t="s">
        <v>27</v>
      </c>
      <c r="T77" t="s">
        <v>60</v>
      </c>
    </row>
    <row r="78" spans="1:20" x14ac:dyDescent="0.3">
      <c r="A78" t="s">
        <v>193</v>
      </c>
      <c r="B78" s="1">
        <v>45892</v>
      </c>
      <c r="C78" s="1" t="s">
        <v>1328</v>
      </c>
      <c r="D78" t="s">
        <v>194</v>
      </c>
      <c r="E78" t="s">
        <v>55</v>
      </c>
      <c r="F78" t="s">
        <v>22</v>
      </c>
      <c r="G78" t="s">
        <v>68</v>
      </c>
      <c r="H78" t="s">
        <v>52</v>
      </c>
      <c r="I78">
        <v>0</v>
      </c>
      <c r="J78">
        <v>0</v>
      </c>
      <c r="K78">
        <v>0</v>
      </c>
      <c r="L78">
        <v>33694</v>
      </c>
      <c r="M78">
        <v>0</v>
      </c>
      <c r="N78">
        <v>387</v>
      </c>
      <c r="O78">
        <v>60</v>
      </c>
      <c r="P78" t="s">
        <v>32</v>
      </c>
      <c r="Q78">
        <v>2971914</v>
      </c>
      <c r="R78" t="s">
        <v>26</v>
      </c>
      <c r="S78" t="s">
        <v>71</v>
      </c>
      <c r="T78" t="s">
        <v>41</v>
      </c>
    </row>
    <row r="79" spans="1:20" x14ac:dyDescent="0.3">
      <c r="A79" t="s">
        <v>195</v>
      </c>
      <c r="B79" s="1">
        <v>45866</v>
      </c>
      <c r="C79" s="1" t="s">
        <v>1327</v>
      </c>
      <c r="D79" t="s">
        <v>91</v>
      </c>
      <c r="E79" t="s">
        <v>55</v>
      </c>
      <c r="F79" t="s">
        <v>21</v>
      </c>
      <c r="G79" t="s">
        <v>59</v>
      </c>
      <c r="H79" t="s">
        <v>31</v>
      </c>
      <c r="I79">
        <v>0</v>
      </c>
      <c r="J79">
        <v>0</v>
      </c>
      <c r="K79">
        <v>573062</v>
      </c>
      <c r="L79">
        <v>0</v>
      </c>
      <c r="M79">
        <v>0</v>
      </c>
      <c r="N79">
        <v>845</v>
      </c>
      <c r="O79">
        <v>31</v>
      </c>
      <c r="P79" t="s">
        <v>32</v>
      </c>
      <c r="Q79">
        <v>1939423</v>
      </c>
      <c r="R79" t="s">
        <v>26</v>
      </c>
      <c r="S79" t="s">
        <v>65</v>
      </c>
      <c r="T79" t="s">
        <v>28</v>
      </c>
    </row>
    <row r="80" spans="1:20" x14ac:dyDescent="0.3">
      <c r="A80" t="s">
        <v>196</v>
      </c>
      <c r="B80" s="1">
        <v>45852</v>
      </c>
      <c r="C80" s="1" t="s">
        <v>1327</v>
      </c>
      <c r="D80" t="s">
        <v>136</v>
      </c>
      <c r="E80" t="s">
        <v>77</v>
      </c>
      <c r="F80" t="s">
        <v>38</v>
      </c>
      <c r="G80" t="s">
        <v>68</v>
      </c>
      <c r="H80" t="s">
        <v>56</v>
      </c>
      <c r="I80">
        <v>26520</v>
      </c>
      <c r="J80">
        <v>0</v>
      </c>
      <c r="K80">
        <v>0</v>
      </c>
      <c r="L80">
        <v>0</v>
      </c>
      <c r="M80">
        <v>0</v>
      </c>
      <c r="N80">
        <v>657</v>
      </c>
      <c r="O80">
        <v>31</v>
      </c>
      <c r="P80" t="s">
        <v>32</v>
      </c>
      <c r="Q80">
        <v>2022227</v>
      </c>
      <c r="R80" t="s">
        <v>26</v>
      </c>
      <c r="S80" t="s">
        <v>27</v>
      </c>
      <c r="T80" t="s">
        <v>60</v>
      </c>
    </row>
    <row r="81" spans="1:20" x14ac:dyDescent="0.3">
      <c r="A81" t="s">
        <v>197</v>
      </c>
      <c r="B81" s="1">
        <v>45792</v>
      </c>
      <c r="C81" s="1" t="s">
        <v>1325</v>
      </c>
      <c r="D81" t="s">
        <v>198</v>
      </c>
      <c r="E81" t="s">
        <v>1338</v>
      </c>
      <c r="F81" t="s">
        <v>38</v>
      </c>
      <c r="G81" t="s">
        <v>59</v>
      </c>
      <c r="H81" t="s">
        <v>40</v>
      </c>
      <c r="I81">
        <v>0</v>
      </c>
      <c r="J81">
        <v>50980</v>
      </c>
      <c r="K81">
        <v>0</v>
      </c>
      <c r="L81">
        <v>0</v>
      </c>
      <c r="M81">
        <v>0</v>
      </c>
      <c r="N81">
        <v>433</v>
      </c>
      <c r="O81">
        <v>68</v>
      </c>
      <c r="P81" t="s">
        <v>25</v>
      </c>
      <c r="Q81">
        <v>1601921</v>
      </c>
      <c r="R81" t="s">
        <v>49</v>
      </c>
      <c r="S81" t="s">
        <v>27</v>
      </c>
      <c r="T81" t="s">
        <v>34</v>
      </c>
    </row>
    <row r="82" spans="1:20" x14ac:dyDescent="0.3">
      <c r="A82" t="s">
        <v>199</v>
      </c>
      <c r="B82" s="1">
        <v>45719</v>
      </c>
      <c r="C82" s="1" t="s">
        <v>1323</v>
      </c>
      <c r="D82" t="s">
        <v>200</v>
      </c>
      <c r="E82" t="s">
        <v>77</v>
      </c>
      <c r="F82" t="s">
        <v>21</v>
      </c>
      <c r="G82" t="s">
        <v>68</v>
      </c>
      <c r="H82" t="s">
        <v>24</v>
      </c>
      <c r="I82">
        <v>0</v>
      </c>
      <c r="J82">
        <v>0</v>
      </c>
      <c r="K82">
        <v>0</v>
      </c>
      <c r="L82">
        <v>0</v>
      </c>
      <c r="M82">
        <v>7253.8</v>
      </c>
      <c r="N82">
        <v>754</v>
      </c>
      <c r="O82">
        <v>22</v>
      </c>
      <c r="P82" t="s">
        <v>32</v>
      </c>
      <c r="Q82">
        <v>1014200</v>
      </c>
      <c r="R82" t="s">
        <v>49</v>
      </c>
      <c r="S82" t="s">
        <v>27</v>
      </c>
      <c r="T82" t="s">
        <v>41</v>
      </c>
    </row>
    <row r="83" spans="1:20" x14ac:dyDescent="0.3">
      <c r="A83" t="s">
        <v>201</v>
      </c>
      <c r="B83" s="1">
        <v>45862</v>
      </c>
      <c r="C83" s="1" t="s">
        <v>1327</v>
      </c>
      <c r="D83" t="s">
        <v>202</v>
      </c>
      <c r="E83" t="s">
        <v>37</v>
      </c>
      <c r="F83" t="s">
        <v>21</v>
      </c>
      <c r="G83" t="s">
        <v>68</v>
      </c>
      <c r="H83" t="s">
        <v>40</v>
      </c>
      <c r="I83">
        <v>0</v>
      </c>
      <c r="J83">
        <v>17712</v>
      </c>
      <c r="K83">
        <v>0</v>
      </c>
      <c r="L83">
        <v>0</v>
      </c>
      <c r="M83">
        <v>0</v>
      </c>
      <c r="N83">
        <v>416</v>
      </c>
      <c r="O83">
        <v>35</v>
      </c>
      <c r="P83" t="s">
        <v>25</v>
      </c>
      <c r="Q83">
        <v>2071602</v>
      </c>
      <c r="R83" t="s">
        <v>26</v>
      </c>
      <c r="S83" t="s">
        <v>27</v>
      </c>
      <c r="T83" t="s">
        <v>28</v>
      </c>
    </row>
    <row r="84" spans="1:20" x14ac:dyDescent="0.3">
      <c r="A84" t="s">
        <v>203</v>
      </c>
      <c r="B84" s="1">
        <v>45851</v>
      </c>
      <c r="C84" s="1" t="s">
        <v>1327</v>
      </c>
      <c r="D84" t="s">
        <v>204</v>
      </c>
      <c r="E84" t="s">
        <v>21</v>
      </c>
      <c r="F84" t="s">
        <v>22</v>
      </c>
      <c r="G84" t="s">
        <v>68</v>
      </c>
      <c r="H84" t="s">
        <v>52</v>
      </c>
      <c r="I84">
        <v>0</v>
      </c>
      <c r="J84">
        <v>0</v>
      </c>
      <c r="K84">
        <v>0</v>
      </c>
      <c r="L84">
        <v>31080</v>
      </c>
      <c r="M84">
        <v>0</v>
      </c>
      <c r="N84">
        <v>314</v>
      </c>
      <c r="O84">
        <v>52</v>
      </c>
      <c r="P84" t="s">
        <v>25</v>
      </c>
      <c r="Q84">
        <v>1628862</v>
      </c>
      <c r="R84" t="s">
        <v>26</v>
      </c>
      <c r="S84" t="s">
        <v>74</v>
      </c>
      <c r="T84" t="s">
        <v>34</v>
      </c>
    </row>
    <row r="85" spans="1:20" x14ac:dyDescent="0.3">
      <c r="A85" t="s">
        <v>205</v>
      </c>
      <c r="B85" s="1">
        <v>45806</v>
      </c>
      <c r="C85" s="1" t="s">
        <v>1325</v>
      </c>
      <c r="D85" t="s">
        <v>175</v>
      </c>
      <c r="E85" t="s">
        <v>37</v>
      </c>
      <c r="F85" t="s">
        <v>44</v>
      </c>
      <c r="G85" t="s">
        <v>39</v>
      </c>
      <c r="H85" t="s">
        <v>52</v>
      </c>
      <c r="I85">
        <v>0</v>
      </c>
      <c r="J85">
        <v>0</v>
      </c>
      <c r="K85">
        <v>0</v>
      </c>
      <c r="L85">
        <v>40431</v>
      </c>
      <c r="M85">
        <v>0</v>
      </c>
      <c r="N85">
        <f>MEDIAN(314,875)</f>
        <v>594.5</v>
      </c>
      <c r="O85">
        <v>65</v>
      </c>
      <c r="P85" t="s">
        <v>25</v>
      </c>
      <c r="Q85">
        <v>1360619</v>
      </c>
      <c r="R85" t="s">
        <v>26</v>
      </c>
      <c r="S85" t="s">
        <v>33</v>
      </c>
      <c r="T85" t="s">
        <v>34</v>
      </c>
    </row>
    <row r="86" spans="1:20" x14ac:dyDescent="0.3">
      <c r="A86" t="s">
        <v>206</v>
      </c>
      <c r="B86" s="1">
        <v>45703</v>
      </c>
      <c r="C86" s="1" t="s">
        <v>1322</v>
      </c>
      <c r="D86" t="s">
        <v>207</v>
      </c>
      <c r="E86" t="s">
        <v>55</v>
      </c>
      <c r="F86" t="s">
        <v>38</v>
      </c>
      <c r="G86" t="s">
        <v>23</v>
      </c>
      <c r="H86" t="s">
        <v>31</v>
      </c>
      <c r="I86">
        <v>0</v>
      </c>
      <c r="J86">
        <v>0</v>
      </c>
      <c r="K86">
        <v>1694049</v>
      </c>
      <c r="L86">
        <v>0</v>
      </c>
      <c r="M86">
        <v>0</v>
      </c>
      <c r="N86">
        <v>392</v>
      </c>
      <c r="O86">
        <v>61</v>
      </c>
      <c r="P86" t="s">
        <v>25</v>
      </c>
      <c r="Q86">
        <v>673503</v>
      </c>
      <c r="R86" t="s">
        <v>26</v>
      </c>
      <c r="S86" t="s">
        <v>33</v>
      </c>
      <c r="T86" t="s">
        <v>28</v>
      </c>
    </row>
    <row r="87" spans="1:20" x14ac:dyDescent="0.3">
      <c r="A87" t="s">
        <v>208</v>
      </c>
      <c r="B87" s="1">
        <v>45805</v>
      </c>
      <c r="C87" s="1" t="s">
        <v>1325</v>
      </c>
      <c r="D87" t="s">
        <v>209</v>
      </c>
      <c r="E87" t="s">
        <v>63</v>
      </c>
      <c r="F87" t="s">
        <v>64</v>
      </c>
      <c r="G87" t="s">
        <v>39</v>
      </c>
      <c r="H87" t="s">
        <v>56</v>
      </c>
      <c r="I87">
        <v>15281</v>
      </c>
      <c r="J87">
        <v>0</v>
      </c>
      <c r="K87">
        <v>0</v>
      </c>
      <c r="L87">
        <v>0</v>
      </c>
      <c r="M87">
        <v>0</v>
      </c>
      <c r="N87">
        <v>714</v>
      </c>
      <c r="O87">
        <v>66</v>
      </c>
      <c r="P87" t="s">
        <v>32</v>
      </c>
      <c r="Q87">
        <v>2728752</v>
      </c>
      <c r="R87" t="s">
        <v>49</v>
      </c>
      <c r="S87" t="s">
        <v>27</v>
      </c>
      <c r="T87" t="s">
        <v>41</v>
      </c>
    </row>
    <row r="88" spans="1:20" x14ac:dyDescent="0.3">
      <c r="A88" t="s">
        <v>210</v>
      </c>
      <c r="B88" s="1">
        <v>45870</v>
      </c>
      <c r="C88" s="1" t="s">
        <v>1328</v>
      </c>
      <c r="D88" t="s">
        <v>211</v>
      </c>
      <c r="E88" t="s">
        <v>63</v>
      </c>
      <c r="F88" t="s">
        <v>21</v>
      </c>
      <c r="G88" t="s">
        <v>39</v>
      </c>
      <c r="H88" t="s">
        <v>52</v>
      </c>
      <c r="I88">
        <v>0</v>
      </c>
      <c r="J88">
        <v>0</v>
      </c>
      <c r="K88">
        <v>0</v>
      </c>
      <c r="L88">
        <v>20603</v>
      </c>
      <c r="M88">
        <v>0</v>
      </c>
      <c r="N88">
        <v>747</v>
      </c>
      <c r="O88">
        <v>51</v>
      </c>
      <c r="P88" t="s">
        <v>32</v>
      </c>
      <c r="Q88">
        <v>2713228</v>
      </c>
      <c r="R88" t="s">
        <v>49</v>
      </c>
      <c r="S88" t="s">
        <v>74</v>
      </c>
      <c r="T88" t="s">
        <v>34</v>
      </c>
    </row>
    <row r="89" spans="1:20" x14ac:dyDescent="0.3">
      <c r="A89" t="s">
        <v>212</v>
      </c>
      <c r="B89" s="1">
        <v>46002</v>
      </c>
      <c r="C89" s="1" t="s">
        <v>1332</v>
      </c>
      <c r="D89" t="s">
        <v>213</v>
      </c>
      <c r="E89" t="s">
        <v>63</v>
      </c>
      <c r="F89" t="s">
        <v>22</v>
      </c>
      <c r="G89" t="s">
        <v>59</v>
      </c>
      <c r="H89" t="s">
        <v>31</v>
      </c>
      <c r="I89">
        <v>0</v>
      </c>
      <c r="J89">
        <v>0</v>
      </c>
      <c r="K89">
        <v>585319</v>
      </c>
      <c r="L89">
        <v>0</v>
      </c>
      <c r="M89">
        <v>0</v>
      </c>
      <c r="N89">
        <v>652</v>
      </c>
      <c r="O89">
        <v>31</v>
      </c>
      <c r="P89" t="s">
        <v>32</v>
      </c>
      <c r="Q89">
        <v>1449255</v>
      </c>
      <c r="R89" t="s">
        <v>26</v>
      </c>
      <c r="S89" t="s">
        <v>33</v>
      </c>
      <c r="T89" t="s">
        <v>34</v>
      </c>
    </row>
    <row r="90" spans="1:20" x14ac:dyDescent="0.3">
      <c r="A90" t="s">
        <v>214</v>
      </c>
      <c r="B90" s="1">
        <v>45838</v>
      </c>
      <c r="C90" s="1" t="s">
        <v>1326</v>
      </c>
      <c r="D90" t="s">
        <v>215</v>
      </c>
      <c r="E90" t="s">
        <v>21</v>
      </c>
      <c r="F90" t="s">
        <v>38</v>
      </c>
      <c r="G90" t="s">
        <v>68</v>
      </c>
      <c r="H90" t="s">
        <v>52</v>
      </c>
      <c r="I90">
        <v>0</v>
      </c>
      <c r="J90">
        <v>0</v>
      </c>
      <c r="K90">
        <v>0</v>
      </c>
      <c r="L90">
        <v>49056</v>
      </c>
      <c r="M90">
        <v>0</v>
      </c>
      <c r="N90">
        <v>431</v>
      </c>
      <c r="O90">
        <v>36</v>
      </c>
      <c r="P90" t="s">
        <v>25</v>
      </c>
      <c r="Q90">
        <v>2521291</v>
      </c>
      <c r="R90" t="s">
        <v>26</v>
      </c>
      <c r="S90" t="s">
        <v>71</v>
      </c>
      <c r="T90" t="s">
        <v>41</v>
      </c>
    </row>
    <row r="91" spans="1:20" x14ac:dyDescent="0.3">
      <c r="A91" t="s">
        <v>216</v>
      </c>
      <c r="B91" s="1">
        <v>45872</v>
      </c>
      <c r="C91" s="1" t="s">
        <v>1328</v>
      </c>
      <c r="D91" t="s">
        <v>217</v>
      </c>
      <c r="E91" t="s">
        <v>48</v>
      </c>
      <c r="F91" t="s">
        <v>38</v>
      </c>
      <c r="G91" t="s">
        <v>39</v>
      </c>
      <c r="H91" t="s">
        <v>31</v>
      </c>
      <c r="I91">
        <v>0</v>
      </c>
      <c r="J91">
        <v>0</v>
      </c>
      <c r="K91">
        <v>1922883</v>
      </c>
      <c r="L91">
        <v>0</v>
      </c>
      <c r="M91">
        <v>0</v>
      </c>
      <c r="N91">
        <v>654</v>
      </c>
      <c r="O91">
        <v>42</v>
      </c>
      <c r="P91" t="s">
        <v>25</v>
      </c>
      <c r="Q91">
        <v>2117111</v>
      </c>
      <c r="R91" t="s">
        <v>26</v>
      </c>
      <c r="S91" t="s">
        <v>65</v>
      </c>
      <c r="T91" t="s">
        <v>34</v>
      </c>
    </row>
    <row r="92" spans="1:20" x14ac:dyDescent="0.3">
      <c r="A92" t="s">
        <v>218</v>
      </c>
      <c r="B92" s="1">
        <v>45666</v>
      </c>
      <c r="C92" s="1" t="s">
        <v>1321</v>
      </c>
      <c r="D92" t="s">
        <v>219</v>
      </c>
      <c r="E92" t="s">
        <v>77</v>
      </c>
      <c r="F92" t="s">
        <v>22</v>
      </c>
      <c r="G92" t="s">
        <v>59</v>
      </c>
      <c r="H92" t="s">
        <v>24</v>
      </c>
      <c r="I92">
        <v>0</v>
      </c>
      <c r="J92">
        <v>0</v>
      </c>
      <c r="K92">
        <v>0</v>
      </c>
      <c r="L92">
        <v>0</v>
      </c>
      <c r="M92">
        <v>2681.99</v>
      </c>
      <c r="N92">
        <v>524</v>
      </c>
      <c r="O92">
        <v>64</v>
      </c>
      <c r="P92" t="s">
        <v>25</v>
      </c>
      <c r="Q92">
        <v>2765837</v>
      </c>
      <c r="R92" t="s">
        <v>26</v>
      </c>
      <c r="S92" t="s">
        <v>27</v>
      </c>
      <c r="T92" t="s">
        <v>45</v>
      </c>
    </row>
    <row r="93" spans="1:20" x14ac:dyDescent="0.3">
      <c r="A93" t="s">
        <v>220</v>
      </c>
      <c r="B93" s="1">
        <v>45681</v>
      </c>
      <c r="C93" s="1" t="s">
        <v>1321</v>
      </c>
      <c r="D93" t="s">
        <v>221</v>
      </c>
      <c r="E93" t="s">
        <v>48</v>
      </c>
      <c r="F93" t="s">
        <v>38</v>
      </c>
      <c r="G93" t="s">
        <v>23</v>
      </c>
      <c r="H93" t="s">
        <v>56</v>
      </c>
      <c r="I93">
        <v>148061</v>
      </c>
      <c r="J93">
        <v>0</v>
      </c>
      <c r="K93">
        <v>0</v>
      </c>
      <c r="L93">
        <v>0</v>
      </c>
      <c r="M93">
        <v>0</v>
      </c>
      <c r="N93">
        <v>579</v>
      </c>
      <c r="O93">
        <v>48</v>
      </c>
      <c r="P93" t="s">
        <v>25</v>
      </c>
      <c r="Q93">
        <v>1247611</v>
      </c>
      <c r="R93" t="s">
        <v>26</v>
      </c>
      <c r="S93" t="s">
        <v>27</v>
      </c>
      <c r="T93" t="s">
        <v>28</v>
      </c>
    </row>
    <row r="94" spans="1:20" x14ac:dyDescent="0.3">
      <c r="A94" t="s">
        <v>222</v>
      </c>
      <c r="B94" s="1">
        <v>45888</v>
      </c>
      <c r="C94" s="1" t="s">
        <v>1328</v>
      </c>
      <c r="D94" t="s">
        <v>223</v>
      </c>
      <c r="E94" t="s">
        <v>55</v>
      </c>
      <c r="F94" t="s">
        <v>22</v>
      </c>
      <c r="G94" t="s">
        <v>59</v>
      </c>
      <c r="H94" t="s">
        <v>56</v>
      </c>
      <c r="I94">
        <v>59699</v>
      </c>
      <c r="J94">
        <v>0</v>
      </c>
      <c r="K94">
        <v>0</v>
      </c>
      <c r="L94">
        <v>0</v>
      </c>
      <c r="M94">
        <v>0</v>
      </c>
      <c r="N94">
        <v>380</v>
      </c>
      <c r="O94">
        <v>52</v>
      </c>
      <c r="P94" t="s">
        <v>25</v>
      </c>
      <c r="Q94">
        <v>639116</v>
      </c>
      <c r="R94" t="s">
        <v>26</v>
      </c>
      <c r="S94" t="s">
        <v>27</v>
      </c>
      <c r="T94" t="s">
        <v>34</v>
      </c>
    </row>
    <row r="95" spans="1:20" x14ac:dyDescent="0.3">
      <c r="A95" t="s">
        <v>224</v>
      </c>
      <c r="B95" s="1">
        <v>45714</v>
      </c>
      <c r="C95" s="1" t="s">
        <v>1322</v>
      </c>
      <c r="D95" t="s">
        <v>225</v>
      </c>
      <c r="E95" t="s">
        <v>55</v>
      </c>
      <c r="F95" t="s">
        <v>44</v>
      </c>
      <c r="G95" t="s">
        <v>39</v>
      </c>
      <c r="H95" t="s">
        <v>31</v>
      </c>
      <c r="I95">
        <v>0</v>
      </c>
      <c r="J95">
        <v>0</v>
      </c>
      <c r="K95">
        <v>1891385</v>
      </c>
      <c r="L95">
        <v>0</v>
      </c>
      <c r="M95">
        <v>0</v>
      </c>
      <c r="N95">
        <v>691</v>
      </c>
      <c r="O95">
        <v>38</v>
      </c>
      <c r="P95" t="s">
        <v>32</v>
      </c>
      <c r="Q95">
        <v>319097</v>
      </c>
      <c r="R95" t="s">
        <v>26</v>
      </c>
      <c r="S95" t="s">
        <v>65</v>
      </c>
      <c r="T95" t="s">
        <v>28</v>
      </c>
    </row>
    <row r="96" spans="1:20" x14ac:dyDescent="0.3">
      <c r="A96" t="s">
        <v>226</v>
      </c>
      <c r="B96" s="1">
        <v>45862</v>
      </c>
      <c r="C96" s="1" t="s">
        <v>1327</v>
      </c>
      <c r="D96" t="s">
        <v>227</v>
      </c>
      <c r="E96" t="s">
        <v>37</v>
      </c>
      <c r="F96" t="s">
        <v>44</v>
      </c>
      <c r="G96" t="s">
        <v>23</v>
      </c>
      <c r="H96" t="s">
        <v>31</v>
      </c>
      <c r="I96">
        <v>0</v>
      </c>
      <c r="J96">
        <v>0</v>
      </c>
      <c r="K96">
        <v>1733743</v>
      </c>
      <c r="L96">
        <v>0</v>
      </c>
      <c r="M96">
        <v>0</v>
      </c>
      <c r="N96">
        <v>779</v>
      </c>
      <c r="O96">
        <v>18</v>
      </c>
      <c r="P96" t="s">
        <v>25</v>
      </c>
      <c r="Q96">
        <v>2080827</v>
      </c>
      <c r="R96" t="s">
        <v>26</v>
      </c>
      <c r="S96" t="s">
        <v>65</v>
      </c>
      <c r="T96" t="s">
        <v>60</v>
      </c>
    </row>
    <row r="97" spans="1:20" x14ac:dyDescent="0.3">
      <c r="A97" t="s">
        <v>228</v>
      </c>
      <c r="B97" s="1">
        <v>45883</v>
      </c>
      <c r="C97" s="1" t="s">
        <v>1328</v>
      </c>
      <c r="D97" t="s">
        <v>229</v>
      </c>
      <c r="E97" t="s">
        <v>63</v>
      </c>
      <c r="F97" t="s">
        <v>22</v>
      </c>
      <c r="G97" t="s">
        <v>39</v>
      </c>
      <c r="H97" t="s">
        <v>56</v>
      </c>
      <c r="I97">
        <v>85165</v>
      </c>
      <c r="J97">
        <v>0</v>
      </c>
      <c r="K97">
        <v>0</v>
      </c>
      <c r="L97">
        <v>0</v>
      </c>
      <c r="M97">
        <v>0</v>
      </c>
      <c r="N97">
        <v>395</v>
      </c>
      <c r="O97">
        <v>67</v>
      </c>
      <c r="P97" t="s">
        <v>25</v>
      </c>
      <c r="Q97">
        <v>908810</v>
      </c>
      <c r="R97" t="s">
        <v>49</v>
      </c>
      <c r="S97" t="s">
        <v>27</v>
      </c>
      <c r="T97" t="s">
        <v>60</v>
      </c>
    </row>
    <row r="98" spans="1:20" x14ac:dyDescent="0.3">
      <c r="A98" t="s">
        <v>230</v>
      </c>
      <c r="B98" s="1">
        <v>46002</v>
      </c>
      <c r="C98" s="1" t="s">
        <v>1332</v>
      </c>
      <c r="D98" t="s">
        <v>231</v>
      </c>
      <c r="E98" t="s">
        <v>77</v>
      </c>
      <c r="F98" t="s">
        <v>22</v>
      </c>
      <c r="G98" t="s">
        <v>23</v>
      </c>
      <c r="H98" t="s">
        <v>56</v>
      </c>
      <c r="I98">
        <v>147884</v>
      </c>
      <c r="J98">
        <v>0</v>
      </c>
      <c r="K98">
        <v>0</v>
      </c>
      <c r="L98">
        <v>0</v>
      </c>
      <c r="M98">
        <v>0</v>
      </c>
      <c r="N98">
        <v>562</v>
      </c>
      <c r="O98">
        <v>66</v>
      </c>
      <c r="P98" t="s">
        <v>32</v>
      </c>
      <c r="Q98">
        <v>2674189</v>
      </c>
      <c r="R98" t="s">
        <v>49</v>
      </c>
      <c r="S98" t="s">
        <v>27</v>
      </c>
      <c r="T98" t="s">
        <v>60</v>
      </c>
    </row>
    <row r="99" spans="1:20" x14ac:dyDescent="0.3">
      <c r="A99" t="s">
        <v>232</v>
      </c>
      <c r="B99" s="1">
        <v>45859</v>
      </c>
      <c r="C99" s="1" t="s">
        <v>1327</v>
      </c>
      <c r="D99" t="s">
        <v>233</v>
      </c>
      <c r="E99" t="s">
        <v>55</v>
      </c>
      <c r="F99" t="s">
        <v>64</v>
      </c>
      <c r="G99" t="s">
        <v>23</v>
      </c>
      <c r="H99" t="s">
        <v>40</v>
      </c>
      <c r="I99">
        <v>0</v>
      </c>
      <c r="J99">
        <v>15867</v>
      </c>
      <c r="K99">
        <v>0</v>
      </c>
      <c r="L99">
        <v>0</v>
      </c>
      <c r="M99">
        <v>0</v>
      </c>
      <c r="N99">
        <v>875</v>
      </c>
      <c r="O99">
        <v>24</v>
      </c>
      <c r="P99" t="s">
        <v>32</v>
      </c>
      <c r="Q99">
        <v>1625289</v>
      </c>
      <c r="R99" t="s">
        <v>49</v>
      </c>
      <c r="S99" t="s">
        <v>27</v>
      </c>
      <c r="T99" t="s">
        <v>28</v>
      </c>
    </row>
    <row r="100" spans="1:20" x14ac:dyDescent="0.3">
      <c r="A100" t="s">
        <v>234</v>
      </c>
      <c r="B100" s="1">
        <v>45947</v>
      </c>
      <c r="C100" s="1" t="s">
        <v>1330</v>
      </c>
      <c r="D100" t="s">
        <v>235</v>
      </c>
      <c r="E100" t="s">
        <v>48</v>
      </c>
      <c r="F100" t="s">
        <v>22</v>
      </c>
      <c r="G100" t="s">
        <v>39</v>
      </c>
      <c r="H100" t="s">
        <v>52</v>
      </c>
      <c r="I100">
        <v>0</v>
      </c>
      <c r="J100">
        <v>0</v>
      </c>
      <c r="K100">
        <v>0</v>
      </c>
      <c r="L100">
        <v>27672</v>
      </c>
      <c r="M100">
        <v>0</v>
      </c>
      <c r="N100">
        <v>812</v>
      </c>
      <c r="O100">
        <v>67</v>
      </c>
      <c r="P100" t="s">
        <v>32</v>
      </c>
      <c r="Q100">
        <v>585771</v>
      </c>
      <c r="R100" t="s">
        <v>49</v>
      </c>
      <c r="S100" t="s">
        <v>33</v>
      </c>
      <c r="T100" t="s">
        <v>28</v>
      </c>
    </row>
    <row r="101" spans="1:20" x14ac:dyDescent="0.3">
      <c r="A101" t="s">
        <v>236</v>
      </c>
      <c r="B101" s="1">
        <v>45723</v>
      </c>
      <c r="C101" s="1" t="s">
        <v>1323</v>
      </c>
      <c r="D101" t="s">
        <v>237</v>
      </c>
      <c r="E101" t="s">
        <v>55</v>
      </c>
      <c r="F101" t="s">
        <v>38</v>
      </c>
      <c r="G101" t="s">
        <v>39</v>
      </c>
      <c r="H101" t="s">
        <v>40</v>
      </c>
      <c r="I101">
        <v>0</v>
      </c>
      <c r="J101">
        <v>52047</v>
      </c>
      <c r="K101">
        <v>0</v>
      </c>
      <c r="L101">
        <v>0</v>
      </c>
      <c r="M101">
        <v>0</v>
      </c>
      <c r="N101">
        <v>878</v>
      </c>
      <c r="O101">
        <v>59</v>
      </c>
      <c r="P101" t="s">
        <v>32</v>
      </c>
      <c r="Q101">
        <v>1549202</v>
      </c>
      <c r="R101" t="s">
        <v>49</v>
      </c>
      <c r="S101" t="s">
        <v>27</v>
      </c>
      <c r="T101" t="s">
        <v>41</v>
      </c>
    </row>
    <row r="102" spans="1:20" x14ac:dyDescent="0.3">
      <c r="A102" t="s">
        <v>238</v>
      </c>
      <c r="B102" s="1">
        <v>45900</v>
      </c>
      <c r="C102" s="1" t="s">
        <v>1328</v>
      </c>
      <c r="D102" t="s">
        <v>227</v>
      </c>
      <c r="E102" t="s">
        <v>63</v>
      </c>
      <c r="F102" t="s">
        <v>38</v>
      </c>
      <c r="G102" t="s">
        <v>39</v>
      </c>
      <c r="H102" t="s">
        <v>31</v>
      </c>
      <c r="I102">
        <v>0</v>
      </c>
      <c r="J102">
        <v>0</v>
      </c>
      <c r="K102">
        <v>841433</v>
      </c>
      <c r="L102">
        <v>0</v>
      </c>
      <c r="M102">
        <v>0</v>
      </c>
      <c r="N102">
        <v>325</v>
      </c>
      <c r="O102">
        <v>20</v>
      </c>
      <c r="P102" t="s">
        <v>32</v>
      </c>
      <c r="Q102">
        <v>1972086</v>
      </c>
      <c r="R102" t="s">
        <v>49</v>
      </c>
      <c r="S102" t="s">
        <v>65</v>
      </c>
      <c r="T102" t="s">
        <v>41</v>
      </c>
    </row>
    <row r="103" spans="1:20" x14ac:dyDescent="0.3">
      <c r="A103" t="s">
        <v>239</v>
      </c>
      <c r="B103" s="1">
        <v>45673</v>
      </c>
      <c r="C103" s="1" t="s">
        <v>1321</v>
      </c>
      <c r="D103" t="s">
        <v>240</v>
      </c>
      <c r="E103" t="s">
        <v>48</v>
      </c>
      <c r="F103" t="s">
        <v>21</v>
      </c>
      <c r="G103" t="s">
        <v>59</v>
      </c>
      <c r="H103" t="s">
        <v>24</v>
      </c>
      <c r="I103">
        <v>0</v>
      </c>
      <c r="J103">
        <v>0</v>
      </c>
      <c r="K103">
        <v>0</v>
      </c>
      <c r="L103">
        <v>0</v>
      </c>
      <c r="M103">
        <v>1808.92</v>
      </c>
      <c r="N103">
        <v>655</v>
      </c>
      <c r="O103">
        <v>48</v>
      </c>
      <c r="P103" t="s">
        <v>32</v>
      </c>
      <c r="Q103">
        <v>450865</v>
      </c>
      <c r="R103" t="s">
        <v>49</v>
      </c>
      <c r="S103" t="s">
        <v>27</v>
      </c>
      <c r="T103" t="s">
        <v>45</v>
      </c>
    </row>
    <row r="104" spans="1:20" x14ac:dyDescent="0.3">
      <c r="A104" t="s">
        <v>241</v>
      </c>
      <c r="B104" s="1">
        <v>45709</v>
      </c>
      <c r="C104" s="1" t="s">
        <v>1322</v>
      </c>
      <c r="D104" t="s">
        <v>242</v>
      </c>
      <c r="E104" t="s">
        <v>77</v>
      </c>
      <c r="F104" t="s">
        <v>21</v>
      </c>
      <c r="G104" t="s">
        <v>23</v>
      </c>
      <c r="H104" t="s">
        <v>31</v>
      </c>
      <c r="I104">
        <v>0</v>
      </c>
      <c r="J104">
        <v>0</v>
      </c>
      <c r="K104">
        <v>1595803</v>
      </c>
      <c r="L104">
        <v>0</v>
      </c>
      <c r="M104">
        <v>0</v>
      </c>
      <c r="N104">
        <v>430</v>
      </c>
      <c r="O104">
        <v>63</v>
      </c>
      <c r="P104" t="s">
        <v>25</v>
      </c>
      <c r="Q104">
        <v>1557482</v>
      </c>
      <c r="R104" t="s">
        <v>49</v>
      </c>
      <c r="S104" t="s">
        <v>33</v>
      </c>
      <c r="T104" t="s">
        <v>28</v>
      </c>
    </row>
    <row r="105" spans="1:20" x14ac:dyDescent="0.3">
      <c r="A105" t="s">
        <v>243</v>
      </c>
      <c r="B105" s="1">
        <v>45838</v>
      </c>
      <c r="C105" s="1" t="s">
        <v>1326</v>
      </c>
      <c r="D105" t="s">
        <v>244</v>
      </c>
      <c r="E105" t="s">
        <v>55</v>
      </c>
      <c r="F105" t="s">
        <v>64</v>
      </c>
      <c r="G105" t="s">
        <v>68</v>
      </c>
      <c r="H105" t="s">
        <v>40</v>
      </c>
      <c r="I105">
        <v>0</v>
      </c>
      <c r="J105">
        <v>98045</v>
      </c>
      <c r="K105">
        <v>0</v>
      </c>
      <c r="L105">
        <v>0</v>
      </c>
      <c r="M105">
        <v>0</v>
      </c>
      <c r="N105">
        <v>550</v>
      </c>
      <c r="O105">
        <v>21</v>
      </c>
      <c r="P105" t="s">
        <v>25</v>
      </c>
      <c r="Q105">
        <v>2820144</v>
      </c>
      <c r="R105" t="s">
        <v>26</v>
      </c>
      <c r="S105" t="s">
        <v>27</v>
      </c>
      <c r="T105" t="s">
        <v>41</v>
      </c>
    </row>
    <row r="106" spans="1:20" x14ac:dyDescent="0.3">
      <c r="A106" t="s">
        <v>245</v>
      </c>
      <c r="B106" s="1">
        <v>45857</v>
      </c>
      <c r="C106" s="1" t="s">
        <v>1327</v>
      </c>
      <c r="D106" t="s">
        <v>202</v>
      </c>
      <c r="E106" t="s">
        <v>63</v>
      </c>
      <c r="F106" t="s">
        <v>64</v>
      </c>
      <c r="G106" t="s">
        <v>23</v>
      </c>
      <c r="H106" t="s">
        <v>56</v>
      </c>
      <c r="I106">
        <v>67555</v>
      </c>
      <c r="J106">
        <v>0</v>
      </c>
      <c r="K106">
        <v>0</v>
      </c>
      <c r="L106">
        <v>0</v>
      </c>
      <c r="M106">
        <v>0</v>
      </c>
      <c r="N106">
        <v>513</v>
      </c>
      <c r="O106">
        <v>52</v>
      </c>
      <c r="P106" t="s">
        <v>32</v>
      </c>
      <c r="Q106">
        <v>1849475</v>
      </c>
      <c r="R106" t="s">
        <v>49</v>
      </c>
      <c r="S106" t="s">
        <v>27</v>
      </c>
      <c r="T106" t="s">
        <v>60</v>
      </c>
    </row>
    <row r="107" spans="1:20" x14ac:dyDescent="0.3">
      <c r="A107" t="s">
        <v>246</v>
      </c>
      <c r="B107" s="1">
        <v>45997</v>
      </c>
      <c r="C107" s="1" t="s">
        <v>1332</v>
      </c>
      <c r="D107" t="s">
        <v>247</v>
      </c>
      <c r="E107" t="s">
        <v>21</v>
      </c>
      <c r="F107" t="s">
        <v>38</v>
      </c>
      <c r="G107" t="s">
        <v>23</v>
      </c>
      <c r="H107" t="s">
        <v>56</v>
      </c>
      <c r="I107">
        <v>7788</v>
      </c>
      <c r="J107">
        <v>0</v>
      </c>
      <c r="K107">
        <v>0</v>
      </c>
      <c r="L107">
        <v>0</v>
      </c>
      <c r="M107">
        <v>0</v>
      </c>
      <c r="N107">
        <v>691</v>
      </c>
      <c r="O107">
        <v>54</v>
      </c>
      <c r="P107" t="s">
        <v>25</v>
      </c>
      <c r="Q107">
        <v>2872841</v>
      </c>
      <c r="R107" t="s">
        <v>49</v>
      </c>
      <c r="S107" t="s">
        <v>27</v>
      </c>
      <c r="T107" t="s">
        <v>34</v>
      </c>
    </row>
    <row r="108" spans="1:20" x14ac:dyDescent="0.3">
      <c r="A108" t="s">
        <v>248</v>
      </c>
      <c r="B108" s="1">
        <v>45917</v>
      </c>
      <c r="C108" s="1" t="s">
        <v>1329</v>
      </c>
      <c r="D108" t="s">
        <v>249</v>
      </c>
      <c r="E108" t="s">
        <v>48</v>
      </c>
      <c r="F108" t="s">
        <v>44</v>
      </c>
      <c r="G108" t="s">
        <v>39</v>
      </c>
      <c r="H108" t="s">
        <v>31</v>
      </c>
      <c r="I108">
        <v>0</v>
      </c>
      <c r="J108">
        <v>0</v>
      </c>
      <c r="K108">
        <v>0</v>
      </c>
      <c r="L108">
        <v>0</v>
      </c>
      <c r="M108">
        <v>0</v>
      </c>
      <c r="N108">
        <v>679</v>
      </c>
      <c r="O108">
        <v>68</v>
      </c>
      <c r="P108" t="s">
        <v>25</v>
      </c>
      <c r="Q108">
        <v>1409564</v>
      </c>
      <c r="R108" t="s">
        <v>26</v>
      </c>
      <c r="S108" t="s">
        <v>65</v>
      </c>
      <c r="T108" t="s">
        <v>60</v>
      </c>
    </row>
    <row r="109" spans="1:20" x14ac:dyDescent="0.3">
      <c r="A109" t="s">
        <v>250</v>
      </c>
      <c r="B109" s="1">
        <v>45668</v>
      </c>
      <c r="C109" s="1" t="s">
        <v>1321</v>
      </c>
      <c r="D109" t="s">
        <v>251</v>
      </c>
      <c r="E109" t="s">
        <v>77</v>
      </c>
      <c r="F109" t="s">
        <v>38</v>
      </c>
      <c r="G109" t="s">
        <v>59</v>
      </c>
      <c r="H109" t="s">
        <v>56</v>
      </c>
      <c r="I109">
        <v>105345</v>
      </c>
      <c r="J109">
        <v>0</v>
      </c>
      <c r="K109">
        <v>0</v>
      </c>
      <c r="L109">
        <v>0</v>
      </c>
      <c r="M109">
        <v>0</v>
      </c>
      <c r="N109">
        <v>820</v>
      </c>
      <c r="O109">
        <v>43</v>
      </c>
      <c r="P109" t="s">
        <v>25</v>
      </c>
      <c r="Q109">
        <v>1846423</v>
      </c>
      <c r="R109" t="s">
        <v>49</v>
      </c>
      <c r="S109" t="s">
        <v>27</v>
      </c>
      <c r="T109" t="s">
        <v>41</v>
      </c>
    </row>
    <row r="110" spans="1:20" x14ac:dyDescent="0.3">
      <c r="A110" t="s">
        <v>252</v>
      </c>
      <c r="B110" s="1">
        <v>45703</v>
      </c>
      <c r="C110" s="1" t="s">
        <v>1322</v>
      </c>
      <c r="D110" t="s">
        <v>253</v>
      </c>
      <c r="E110" t="s">
        <v>48</v>
      </c>
      <c r="F110" t="s">
        <v>21</v>
      </c>
      <c r="G110" t="s">
        <v>23</v>
      </c>
      <c r="H110" t="s">
        <v>40</v>
      </c>
      <c r="I110">
        <v>0</v>
      </c>
      <c r="J110">
        <v>18289</v>
      </c>
      <c r="K110">
        <v>0</v>
      </c>
      <c r="L110">
        <v>0</v>
      </c>
      <c r="M110">
        <v>0</v>
      </c>
      <c r="N110">
        <v>849</v>
      </c>
      <c r="O110">
        <v>42</v>
      </c>
      <c r="P110" t="s">
        <v>32</v>
      </c>
      <c r="Q110">
        <v>852471</v>
      </c>
      <c r="R110" t="s">
        <v>26</v>
      </c>
      <c r="S110" t="s">
        <v>27</v>
      </c>
      <c r="T110" t="s">
        <v>28</v>
      </c>
    </row>
    <row r="111" spans="1:20" x14ac:dyDescent="0.3">
      <c r="A111" t="s">
        <v>254</v>
      </c>
      <c r="B111" s="1">
        <v>45752</v>
      </c>
      <c r="C111" s="1" t="s">
        <v>1324</v>
      </c>
      <c r="D111" t="s">
        <v>126</v>
      </c>
      <c r="E111" t="s">
        <v>48</v>
      </c>
      <c r="F111" t="s">
        <v>22</v>
      </c>
      <c r="G111" t="s">
        <v>23</v>
      </c>
      <c r="H111" t="s">
        <v>24</v>
      </c>
      <c r="I111">
        <v>0</v>
      </c>
      <c r="J111">
        <v>0</v>
      </c>
      <c r="K111">
        <v>0</v>
      </c>
      <c r="L111">
        <v>0</v>
      </c>
      <c r="M111">
        <v>6887.6</v>
      </c>
      <c r="N111">
        <v>583</v>
      </c>
      <c r="O111">
        <v>23</v>
      </c>
      <c r="P111" t="s">
        <v>32</v>
      </c>
      <c r="Q111">
        <v>1998657</v>
      </c>
      <c r="R111" t="s">
        <v>26</v>
      </c>
      <c r="S111" t="s">
        <v>27</v>
      </c>
      <c r="T111" t="s">
        <v>34</v>
      </c>
    </row>
    <row r="112" spans="1:20" x14ac:dyDescent="0.3">
      <c r="A112" t="s">
        <v>255</v>
      </c>
      <c r="B112" s="1">
        <v>45970</v>
      </c>
      <c r="C112" s="1" t="s">
        <v>1331</v>
      </c>
      <c r="D112" t="s">
        <v>256</v>
      </c>
      <c r="E112" t="s">
        <v>55</v>
      </c>
      <c r="F112" t="s">
        <v>44</v>
      </c>
      <c r="G112" t="s">
        <v>39</v>
      </c>
      <c r="H112" t="s">
        <v>31</v>
      </c>
      <c r="I112">
        <v>0</v>
      </c>
      <c r="J112">
        <v>0</v>
      </c>
      <c r="K112">
        <v>1740166</v>
      </c>
      <c r="L112">
        <v>0</v>
      </c>
      <c r="M112">
        <v>0</v>
      </c>
      <c r="N112">
        <v>566</v>
      </c>
      <c r="O112">
        <v>68</v>
      </c>
      <c r="P112" t="s">
        <v>25</v>
      </c>
      <c r="Q112">
        <v>1340613</v>
      </c>
      <c r="R112" t="s">
        <v>49</v>
      </c>
      <c r="S112" t="s">
        <v>65</v>
      </c>
      <c r="T112" t="s">
        <v>41</v>
      </c>
    </row>
    <row r="113" spans="1:20" x14ac:dyDescent="0.3">
      <c r="A113" t="s">
        <v>257</v>
      </c>
      <c r="B113" s="1">
        <v>45880</v>
      </c>
      <c r="C113" s="1" t="s">
        <v>1328</v>
      </c>
      <c r="D113" t="s">
        <v>258</v>
      </c>
      <c r="E113" t="s">
        <v>21</v>
      </c>
      <c r="F113" t="s">
        <v>64</v>
      </c>
      <c r="G113" t="s">
        <v>39</v>
      </c>
      <c r="H113" t="s">
        <v>56</v>
      </c>
      <c r="I113">
        <v>103089</v>
      </c>
      <c r="J113">
        <v>0</v>
      </c>
      <c r="K113">
        <v>0</v>
      </c>
      <c r="L113">
        <v>0</v>
      </c>
      <c r="M113">
        <v>0</v>
      </c>
      <c r="N113">
        <v>552</v>
      </c>
      <c r="O113">
        <v>25</v>
      </c>
      <c r="P113" t="s">
        <v>32</v>
      </c>
      <c r="Q113">
        <v>1027566</v>
      </c>
      <c r="R113" t="s">
        <v>49</v>
      </c>
      <c r="S113" t="s">
        <v>27</v>
      </c>
      <c r="T113" t="s">
        <v>45</v>
      </c>
    </row>
    <row r="114" spans="1:20" x14ac:dyDescent="0.3">
      <c r="A114" t="s">
        <v>259</v>
      </c>
      <c r="B114" s="1">
        <v>45721</v>
      </c>
      <c r="C114" s="1" t="s">
        <v>1323</v>
      </c>
      <c r="D114" t="s">
        <v>253</v>
      </c>
      <c r="E114" t="s">
        <v>37</v>
      </c>
      <c r="F114" t="s">
        <v>21</v>
      </c>
      <c r="G114" t="s">
        <v>23</v>
      </c>
      <c r="H114" t="s">
        <v>24</v>
      </c>
      <c r="I114">
        <v>0</v>
      </c>
      <c r="J114">
        <v>0</v>
      </c>
      <c r="K114">
        <v>0</v>
      </c>
      <c r="L114">
        <v>0</v>
      </c>
      <c r="M114">
        <v>9295</v>
      </c>
      <c r="N114">
        <v>403</v>
      </c>
      <c r="O114">
        <v>63</v>
      </c>
      <c r="P114" t="s">
        <v>25</v>
      </c>
      <c r="Q114">
        <v>311761</v>
      </c>
      <c r="R114" t="s">
        <v>26</v>
      </c>
      <c r="S114" t="s">
        <v>27</v>
      </c>
      <c r="T114" t="s">
        <v>41</v>
      </c>
    </row>
    <row r="115" spans="1:20" x14ac:dyDescent="0.3">
      <c r="A115" t="s">
        <v>260</v>
      </c>
      <c r="B115" s="1">
        <v>45816</v>
      </c>
      <c r="C115" s="1" t="s">
        <v>1326</v>
      </c>
      <c r="D115" t="s">
        <v>231</v>
      </c>
      <c r="E115" t="s">
        <v>63</v>
      </c>
      <c r="F115" t="s">
        <v>38</v>
      </c>
      <c r="G115" t="s">
        <v>59</v>
      </c>
      <c r="H115" t="s">
        <v>56</v>
      </c>
      <c r="I115">
        <v>37742</v>
      </c>
      <c r="J115">
        <v>0</v>
      </c>
      <c r="K115">
        <v>0</v>
      </c>
      <c r="L115">
        <v>0</v>
      </c>
      <c r="M115">
        <v>0</v>
      </c>
      <c r="N115">
        <v>863</v>
      </c>
      <c r="O115">
        <v>21</v>
      </c>
      <c r="P115" t="s">
        <v>32</v>
      </c>
      <c r="Q115">
        <v>2197242</v>
      </c>
      <c r="R115" t="s">
        <v>49</v>
      </c>
      <c r="S115" t="s">
        <v>27</v>
      </c>
      <c r="T115" t="s">
        <v>45</v>
      </c>
    </row>
    <row r="116" spans="1:20" x14ac:dyDescent="0.3">
      <c r="A116" t="s">
        <v>261</v>
      </c>
      <c r="B116" s="1">
        <v>45856</v>
      </c>
      <c r="C116" s="1" t="s">
        <v>1327</v>
      </c>
      <c r="D116" t="s">
        <v>262</v>
      </c>
      <c r="E116" t="s">
        <v>63</v>
      </c>
      <c r="F116" t="s">
        <v>38</v>
      </c>
      <c r="G116" t="s">
        <v>59</v>
      </c>
      <c r="H116" t="s">
        <v>31</v>
      </c>
      <c r="I116">
        <v>0</v>
      </c>
      <c r="J116">
        <v>0</v>
      </c>
      <c r="K116">
        <v>935174</v>
      </c>
      <c r="L116">
        <v>0</v>
      </c>
      <c r="M116">
        <v>0</v>
      </c>
      <c r="N116">
        <v>317</v>
      </c>
      <c r="O116">
        <v>64</v>
      </c>
      <c r="P116" t="s">
        <v>32</v>
      </c>
      <c r="Q116">
        <v>1601778</v>
      </c>
      <c r="R116" t="s">
        <v>26</v>
      </c>
      <c r="S116" t="s">
        <v>65</v>
      </c>
      <c r="T116" t="s">
        <v>45</v>
      </c>
    </row>
    <row r="117" spans="1:20" x14ac:dyDescent="0.3">
      <c r="A117" t="s">
        <v>263</v>
      </c>
      <c r="B117" s="1">
        <v>46006</v>
      </c>
      <c r="C117" s="1" t="s">
        <v>1332</v>
      </c>
      <c r="D117" t="s">
        <v>264</v>
      </c>
      <c r="E117" t="s">
        <v>21</v>
      </c>
      <c r="F117" t="s">
        <v>64</v>
      </c>
      <c r="G117" t="s">
        <v>59</v>
      </c>
      <c r="H117" t="s">
        <v>24</v>
      </c>
      <c r="I117">
        <v>0</v>
      </c>
      <c r="J117">
        <v>0</v>
      </c>
      <c r="K117">
        <v>0</v>
      </c>
      <c r="L117">
        <v>0</v>
      </c>
      <c r="M117">
        <v>5195.41</v>
      </c>
      <c r="N117">
        <v>565</v>
      </c>
      <c r="O117">
        <v>34</v>
      </c>
      <c r="P117" t="s">
        <v>25</v>
      </c>
      <c r="Q117">
        <v>697923</v>
      </c>
      <c r="R117" t="s">
        <v>26</v>
      </c>
      <c r="S117" t="s">
        <v>27</v>
      </c>
      <c r="T117" t="s">
        <v>41</v>
      </c>
    </row>
    <row r="118" spans="1:20" x14ac:dyDescent="0.3">
      <c r="A118" t="s">
        <v>265</v>
      </c>
      <c r="B118" s="1">
        <v>45663</v>
      </c>
      <c r="C118" s="1" t="s">
        <v>1321</v>
      </c>
      <c r="D118" t="s">
        <v>266</v>
      </c>
      <c r="E118" t="s">
        <v>48</v>
      </c>
      <c r="F118" t="s">
        <v>64</v>
      </c>
      <c r="G118" t="s">
        <v>68</v>
      </c>
      <c r="H118" t="s">
        <v>40</v>
      </c>
      <c r="I118">
        <v>0</v>
      </c>
      <c r="J118">
        <v>6027</v>
      </c>
      <c r="K118">
        <v>0</v>
      </c>
      <c r="L118">
        <v>0</v>
      </c>
      <c r="M118">
        <v>0</v>
      </c>
      <c r="N118">
        <v>359</v>
      </c>
      <c r="O118">
        <v>27</v>
      </c>
      <c r="P118" t="s">
        <v>25</v>
      </c>
      <c r="Q118">
        <v>430330</v>
      </c>
      <c r="R118" t="s">
        <v>26</v>
      </c>
      <c r="S118" t="s">
        <v>27</v>
      </c>
      <c r="T118" t="s">
        <v>41</v>
      </c>
    </row>
    <row r="119" spans="1:20" x14ac:dyDescent="0.3">
      <c r="A119" t="s">
        <v>267</v>
      </c>
      <c r="B119" s="1">
        <v>45897</v>
      </c>
      <c r="C119" s="1" t="s">
        <v>1328</v>
      </c>
      <c r="D119" t="s">
        <v>268</v>
      </c>
      <c r="E119" t="s">
        <v>55</v>
      </c>
      <c r="F119" t="s">
        <v>64</v>
      </c>
      <c r="G119" t="s">
        <v>59</v>
      </c>
      <c r="H119" t="s">
        <v>40</v>
      </c>
      <c r="I119">
        <v>0</v>
      </c>
      <c r="J119">
        <v>46797</v>
      </c>
      <c r="K119">
        <v>0</v>
      </c>
      <c r="L119">
        <v>0</v>
      </c>
      <c r="M119">
        <v>0</v>
      </c>
      <c r="N119">
        <v>625</v>
      </c>
      <c r="O119">
        <v>36</v>
      </c>
      <c r="P119" t="s">
        <v>32</v>
      </c>
      <c r="Q119">
        <v>826956</v>
      </c>
      <c r="R119" t="s">
        <v>26</v>
      </c>
      <c r="S119" t="s">
        <v>27</v>
      </c>
      <c r="T119" t="s">
        <v>28</v>
      </c>
    </row>
    <row r="120" spans="1:20" x14ac:dyDescent="0.3">
      <c r="A120" t="s">
        <v>269</v>
      </c>
      <c r="B120" s="1">
        <v>45903</v>
      </c>
      <c r="C120" s="1" t="s">
        <v>1329</v>
      </c>
      <c r="D120" t="s">
        <v>270</v>
      </c>
      <c r="E120" t="s">
        <v>77</v>
      </c>
      <c r="F120" t="s">
        <v>22</v>
      </c>
      <c r="G120" t="s">
        <v>68</v>
      </c>
      <c r="H120" t="s">
        <v>56</v>
      </c>
      <c r="I120">
        <v>105342</v>
      </c>
      <c r="J120">
        <v>0</v>
      </c>
      <c r="K120">
        <v>0</v>
      </c>
      <c r="L120">
        <v>0</v>
      </c>
      <c r="M120">
        <v>0</v>
      </c>
      <c r="N120">
        <v>663</v>
      </c>
      <c r="O120">
        <v>35</v>
      </c>
      <c r="P120" t="s">
        <v>25</v>
      </c>
      <c r="Q120">
        <v>1539489</v>
      </c>
      <c r="R120" t="s">
        <v>49</v>
      </c>
      <c r="S120" t="s">
        <v>27</v>
      </c>
      <c r="T120" t="s">
        <v>28</v>
      </c>
    </row>
    <row r="121" spans="1:20" x14ac:dyDescent="0.3">
      <c r="A121" t="s">
        <v>271</v>
      </c>
      <c r="B121" s="1">
        <v>45962</v>
      </c>
      <c r="C121" s="1" t="s">
        <v>1331</v>
      </c>
      <c r="D121" t="s">
        <v>272</v>
      </c>
      <c r="E121" t="s">
        <v>77</v>
      </c>
      <c r="F121" t="s">
        <v>21</v>
      </c>
      <c r="G121" t="s">
        <v>68</v>
      </c>
      <c r="H121" t="s">
        <v>56</v>
      </c>
      <c r="I121">
        <v>168228</v>
      </c>
      <c r="J121">
        <v>0</v>
      </c>
      <c r="K121">
        <v>0</v>
      </c>
      <c r="L121">
        <v>0</v>
      </c>
      <c r="M121">
        <v>0</v>
      </c>
      <c r="N121">
        <v>893</v>
      </c>
      <c r="O121">
        <v>33</v>
      </c>
      <c r="P121" t="s">
        <v>32</v>
      </c>
      <c r="Q121">
        <v>2143491</v>
      </c>
      <c r="R121" t="s">
        <v>26</v>
      </c>
      <c r="S121" t="s">
        <v>27</v>
      </c>
      <c r="T121" t="s">
        <v>28</v>
      </c>
    </row>
    <row r="122" spans="1:20" x14ac:dyDescent="0.3">
      <c r="A122" t="s">
        <v>273</v>
      </c>
      <c r="B122" s="1">
        <v>45810</v>
      </c>
      <c r="C122" s="1" t="s">
        <v>1326</v>
      </c>
      <c r="D122" t="s">
        <v>274</v>
      </c>
      <c r="E122" t="s">
        <v>48</v>
      </c>
      <c r="F122" t="s">
        <v>44</v>
      </c>
      <c r="G122" t="s">
        <v>23</v>
      </c>
      <c r="H122" t="s">
        <v>52</v>
      </c>
      <c r="I122">
        <v>0</v>
      </c>
      <c r="J122">
        <v>0</v>
      </c>
      <c r="K122">
        <v>0</v>
      </c>
      <c r="L122">
        <v>5811</v>
      </c>
      <c r="M122">
        <v>0</v>
      </c>
      <c r="N122">
        <v>626</v>
      </c>
      <c r="O122">
        <v>36</v>
      </c>
      <c r="P122" t="s">
        <v>32</v>
      </c>
      <c r="Q122">
        <v>527932</v>
      </c>
      <c r="R122" t="s">
        <v>26</v>
      </c>
      <c r="S122" t="s">
        <v>71</v>
      </c>
      <c r="T122" t="s">
        <v>34</v>
      </c>
    </row>
    <row r="123" spans="1:20" x14ac:dyDescent="0.3">
      <c r="A123" t="s">
        <v>275</v>
      </c>
      <c r="B123" s="1">
        <v>45687</v>
      </c>
      <c r="C123" s="1" t="s">
        <v>1321</v>
      </c>
      <c r="D123" t="s">
        <v>276</v>
      </c>
      <c r="E123" t="s">
        <v>21</v>
      </c>
      <c r="F123" t="s">
        <v>44</v>
      </c>
      <c r="G123" t="s">
        <v>23</v>
      </c>
      <c r="H123" t="s">
        <v>40</v>
      </c>
      <c r="I123">
        <v>0</v>
      </c>
      <c r="J123">
        <v>79132</v>
      </c>
      <c r="K123">
        <v>0</v>
      </c>
      <c r="L123">
        <v>0</v>
      </c>
      <c r="M123">
        <v>0</v>
      </c>
      <c r="N123">
        <v>343</v>
      </c>
      <c r="O123">
        <v>31</v>
      </c>
      <c r="P123" t="s">
        <v>25</v>
      </c>
      <c r="Q123">
        <v>2207211</v>
      </c>
      <c r="R123" t="s">
        <v>26</v>
      </c>
      <c r="S123" t="s">
        <v>27</v>
      </c>
      <c r="T123" t="s">
        <v>60</v>
      </c>
    </row>
    <row r="124" spans="1:20" x14ac:dyDescent="0.3">
      <c r="A124" t="s">
        <v>277</v>
      </c>
      <c r="B124" s="1">
        <v>45751</v>
      </c>
      <c r="C124" s="1" t="s">
        <v>1324</v>
      </c>
      <c r="D124" t="s">
        <v>278</v>
      </c>
      <c r="E124" t="s">
        <v>55</v>
      </c>
      <c r="F124" t="s">
        <v>21</v>
      </c>
      <c r="G124" t="s">
        <v>59</v>
      </c>
      <c r="H124" t="s">
        <v>52</v>
      </c>
      <c r="I124">
        <v>0</v>
      </c>
      <c r="J124">
        <v>0</v>
      </c>
      <c r="K124">
        <v>0</v>
      </c>
      <c r="L124">
        <v>21027</v>
      </c>
      <c r="M124">
        <v>0</v>
      </c>
      <c r="N124">
        <v>671</v>
      </c>
      <c r="O124">
        <v>40</v>
      </c>
      <c r="P124" t="s">
        <v>32</v>
      </c>
      <c r="Q124">
        <v>934535</v>
      </c>
      <c r="R124" t="s">
        <v>26</v>
      </c>
      <c r="S124" t="s">
        <v>74</v>
      </c>
      <c r="T124" t="s">
        <v>41</v>
      </c>
    </row>
    <row r="125" spans="1:20" x14ac:dyDescent="0.3">
      <c r="A125" t="s">
        <v>280</v>
      </c>
      <c r="B125" s="1">
        <v>45786</v>
      </c>
      <c r="C125" s="1" t="s">
        <v>1325</v>
      </c>
      <c r="D125" t="s">
        <v>281</v>
      </c>
      <c r="E125" t="s">
        <v>55</v>
      </c>
      <c r="F125" t="s">
        <v>22</v>
      </c>
      <c r="G125" t="s">
        <v>68</v>
      </c>
      <c r="H125" t="s">
        <v>24</v>
      </c>
      <c r="I125">
        <v>0</v>
      </c>
      <c r="J125">
        <v>0</v>
      </c>
      <c r="K125">
        <v>0</v>
      </c>
      <c r="L125">
        <v>0</v>
      </c>
      <c r="M125">
        <v>8036.23</v>
      </c>
      <c r="N125">
        <v>569</v>
      </c>
      <c r="O125">
        <v>67</v>
      </c>
      <c r="P125" t="s">
        <v>25</v>
      </c>
      <c r="Q125">
        <v>2852846</v>
      </c>
      <c r="R125" t="s">
        <v>49</v>
      </c>
      <c r="S125" t="s">
        <v>27</v>
      </c>
      <c r="T125" t="s">
        <v>41</v>
      </c>
    </row>
    <row r="126" spans="1:20" x14ac:dyDescent="0.3">
      <c r="A126" t="s">
        <v>282</v>
      </c>
      <c r="B126" s="1">
        <v>45847</v>
      </c>
      <c r="C126" s="1" t="s">
        <v>1327</v>
      </c>
      <c r="D126" t="s">
        <v>283</v>
      </c>
      <c r="E126" t="s">
        <v>63</v>
      </c>
      <c r="F126" t="s">
        <v>44</v>
      </c>
      <c r="G126" t="s">
        <v>39</v>
      </c>
      <c r="H126" t="s">
        <v>52</v>
      </c>
      <c r="I126">
        <v>0</v>
      </c>
      <c r="J126">
        <v>0</v>
      </c>
      <c r="K126">
        <v>0</v>
      </c>
      <c r="L126">
        <v>41816</v>
      </c>
      <c r="M126">
        <v>0</v>
      </c>
      <c r="N126">
        <v>847</v>
      </c>
      <c r="O126">
        <v>59</v>
      </c>
      <c r="P126" t="s">
        <v>25</v>
      </c>
      <c r="Q126">
        <v>718841</v>
      </c>
      <c r="R126" t="s">
        <v>49</v>
      </c>
      <c r="S126" t="s">
        <v>33</v>
      </c>
      <c r="T126" t="s">
        <v>45</v>
      </c>
    </row>
    <row r="127" spans="1:20" x14ac:dyDescent="0.3">
      <c r="A127" t="s">
        <v>284</v>
      </c>
      <c r="B127" s="1">
        <v>45980</v>
      </c>
      <c r="C127" s="1" t="s">
        <v>1331</v>
      </c>
      <c r="D127" t="s">
        <v>281</v>
      </c>
      <c r="E127" t="s">
        <v>77</v>
      </c>
      <c r="F127" t="s">
        <v>21</v>
      </c>
      <c r="G127" t="s">
        <v>39</v>
      </c>
      <c r="H127" t="s">
        <v>52</v>
      </c>
      <c r="I127">
        <v>0</v>
      </c>
      <c r="J127">
        <v>0</v>
      </c>
      <c r="K127">
        <v>0</v>
      </c>
      <c r="L127">
        <v>4436</v>
      </c>
      <c r="M127">
        <v>0</v>
      </c>
      <c r="N127">
        <v>851</v>
      </c>
      <c r="O127">
        <v>26</v>
      </c>
      <c r="P127" t="s">
        <v>32</v>
      </c>
      <c r="Q127">
        <v>1840063</v>
      </c>
      <c r="R127" t="s">
        <v>49</v>
      </c>
      <c r="S127" t="s">
        <v>71</v>
      </c>
      <c r="T127" t="s">
        <v>28</v>
      </c>
    </row>
    <row r="128" spans="1:20" x14ac:dyDescent="0.3">
      <c r="A128" t="s">
        <v>285</v>
      </c>
      <c r="B128" s="1">
        <v>45691</v>
      </c>
      <c r="C128" s="1" t="s">
        <v>1322</v>
      </c>
      <c r="D128" t="s">
        <v>286</v>
      </c>
      <c r="E128" t="s">
        <v>55</v>
      </c>
      <c r="F128" t="s">
        <v>22</v>
      </c>
      <c r="G128" t="s">
        <v>59</v>
      </c>
      <c r="H128" t="s">
        <v>24</v>
      </c>
      <c r="I128">
        <v>0</v>
      </c>
      <c r="J128">
        <v>0</v>
      </c>
      <c r="K128">
        <v>0</v>
      </c>
      <c r="L128">
        <v>0</v>
      </c>
      <c r="M128">
        <v>9954.41</v>
      </c>
      <c r="N128">
        <v>328</v>
      </c>
      <c r="O128">
        <v>50</v>
      </c>
      <c r="P128" t="s">
        <v>25</v>
      </c>
      <c r="Q128">
        <v>2766770</v>
      </c>
      <c r="R128" t="s">
        <v>49</v>
      </c>
      <c r="S128" t="s">
        <v>27</v>
      </c>
      <c r="T128" t="s">
        <v>60</v>
      </c>
    </row>
    <row r="129" spans="1:20" x14ac:dyDescent="0.3">
      <c r="A129" t="s">
        <v>287</v>
      </c>
      <c r="B129" s="1">
        <v>45844</v>
      </c>
      <c r="C129" s="1" t="s">
        <v>1327</v>
      </c>
      <c r="D129" t="s">
        <v>217</v>
      </c>
      <c r="E129" t="s">
        <v>77</v>
      </c>
      <c r="F129" t="s">
        <v>38</v>
      </c>
      <c r="G129" t="s">
        <v>68</v>
      </c>
      <c r="H129" t="s">
        <v>56</v>
      </c>
      <c r="I129">
        <v>82861</v>
      </c>
      <c r="J129">
        <v>0</v>
      </c>
      <c r="K129">
        <v>0</v>
      </c>
      <c r="L129">
        <v>0</v>
      </c>
      <c r="M129">
        <v>0</v>
      </c>
      <c r="N129">
        <v>600</v>
      </c>
      <c r="O129">
        <v>40</v>
      </c>
      <c r="P129" t="s">
        <v>25</v>
      </c>
      <c r="Q129">
        <v>2890028</v>
      </c>
      <c r="R129" t="s">
        <v>26</v>
      </c>
      <c r="S129" t="s">
        <v>27</v>
      </c>
      <c r="T129" t="s">
        <v>34</v>
      </c>
    </row>
    <row r="130" spans="1:20" x14ac:dyDescent="0.3">
      <c r="A130" t="s">
        <v>288</v>
      </c>
      <c r="B130" s="1">
        <v>45803</v>
      </c>
      <c r="C130" s="1" t="s">
        <v>1325</v>
      </c>
      <c r="D130" t="s">
        <v>227</v>
      </c>
      <c r="E130" t="s">
        <v>37</v>
      </c>
      <c r="F130" t="s">
        <v>64</v>
      </c>
      <c r="G130" t="s">
        <v>23</v>
      </c>
      <c r="H130" t="s">
        <v>56</v>
      </c>
      <c r="I130">
        <v>131118</v>
      </c>
      <c r="J130">
        <v>0</v>
      </c>
      <c r="K130">
        <v>0</v>
      </c>
      <c r="L130">
        <v>0</v>
      </c>
      <c r="M130">
        <v>0</v>
      </c>
      <c r="N130">
        <v>405</v>
      </c>
      <c r="O130">
        <v>52</v>
      </c>
      <c r="P130" t="s">
        <v>32</v>
      </c>
      <c r="Q130">
        <v>1310082</v>
      </c>
      <c r="R130" t="s">
        <v>26</v>
      </c>
      <c r="S130" t="s">
        <v>27</v>
      </c>
      <c r="T130" t="s">
        <v>41</v>
      </c>
    </row>
    <row r="131" spans="1:20" x14ac:dyDescent="0.3">
      <c r="A131" t="s">
        <v>289</v>
      </c>
      <c r="B131" s="1">
        <v>45927</v>
      </c>
      <c r="C131" s="1" t="s">
        <v>1329</v>
      </c>
      <c r="D131" t="s">
        <v>108</v>
      </c>
      <c r="E131" t="s">
        <v>63</v>
      </c>
      <c r="F131" t="s">
        <v>21</v>
      </c>
      <c r="G131" t="s">
        <v>68</v>
      </c>
      <c r="H131" t="s">
        <v>56</v>
      </c>
      <c r="I131">
        <v>186136</v>
      </c>
      <c r="J131">
        <v>0</v>
      </c>
      <c r="K131">
        <v>0</v>
      </c>
      <c r="L131">
        <v>0</v>
      </c>
      <c r="M131">
        <v>0</v>
      </c>
      <c r="N131">
        <v>674</v>
      </c>
      <c r="O131">
        <v>38</v>
      </c>
      <c r="P131" t="s">
        <v>25</v>
      </c>
      <c r="Q131">
        <v>1251547</v>
      </c>
      <c r="R131" t="s">
        <v>26</v>
      </c>
      <c r="S131" t="s">
        <v>27</v>
      </c>
      <c r="T131" t="s">
        <v>45</v>
      </c>
    </row>
    <row r="132" spans="1:20" x14ac:dyDescent="0.3">
      <c r="A132" t="s">
        <v>290</v>
      </c>
      <c r="B132" s="1">
        <v>45917</v>
      </c>
      <c r="C132" s="1" t="s">
        <v>1329</v>
      </c>
      <c r="D132" t="s">
        <v>291</v>
      </c>
      <c r="E132" t="s">
        <v>48</v>
      </c>
      <c r="F132" t="s">
        <v>64</v>
      </c>
      <c r="G132" t="s">
        <v>23</v>
      </c>
      <c r="H132" t="s">
        <v>40</v>
      </c>
      <c r="I132">
        <v>0</v>
      </c>
      <c r="J132">
        <v>78233</v>
      </c>
      <c r="K132">
        <v>0</v>
      </c>
      <c r="L132">
        <v>0</v>
      </c>
      <c r="M132">
        <v>0</v>
      </c>
      <c r="N132">
        <v>875</v>
      </c>
      <c r="O132">
        <v>26</v>
      </c>
      <c r="P132" t="s">
        <v>32</v>
      </c>
      <c r="Q132">
        <v>291629</v>
      </c>
      <c r="R132" t="s">
        <v>26</v>
      </c>
      <c r="S132" t="s">
        <v>27</v>
      </c>
      <c r="T132" t="s">
        <v>34</v>
      </c>
    </row>
    <row r="133" spans="1:20" x14ac:dyDescent="0.3">
      <c r="A133" t="s">
        <v>292</v>
      </c>
      <c r="B133" s="1">
        <v>45759</v>
      </c>
      <c r="C133" s="1" t="s">
        <v>1324</v>
      </c>
      <c r="D133" t="s">
        <v>293</v>
      </c>
      <c r="E133" t="s">
        <v>55</v>
      </c>
      <c r="F133" t="s">
        <v>21</v>
      </c>
      <c r="G133" t="s">
        <v>39</v>
      </c>
      <c r="H133" t="s">
        <v>24</v>
      </c>
      <c r="I133">
        <v>0</v>
      </c>
      <c r="J133">
        <v>0</v>
      </c>
      <c r="K133">
        <v>0</v>
      </c>
      <c r="L133">
        <v>0</v>
      </c>
      <c r="M133">
        <v>7549.79</v>
      </c>
      <c r="N133">
        <v>782</v>
      </c>
      <c r="O133">
        <v>63</v>
      </c>
      <c r="P133" t="s">
        <v>32</v>
      </c>
      <c r="Q133">
        <v>1705956</v>
      </c>
      <c r="R133" t="s">
        <v>26</v>
      </c>
      <c r="S133" t="s">
        <v>27</v>
      </c>
      <c r="T133" t="s">
        <v>34</v>
      </c>
    </row>
    <row r="134" spans="1:20" x14ac:dyDescent="0.3">
      <c r="A134" t="s">
        <v>294</v>
      </c>
      <c r="B134" s="1">
        <v>45849</v>
      </c>
      <c r="C134" s="1" t="s">
        <v>1327</v>
      </c>
      <c r="D134" t="s">
        <v>293</v>
      </c>
      <c r="E134" t="s">
        <v>63</v>
      </c>
      <c r="F134" t="s">
        <v>22</v>
      </c>
      <c r="G134" t="s">
        <v>59</v>
      </c>
      <c r="H134" t="s">
        <v>31</v>
      </c>
      <c r="I134">
        <v>0</v>
      </c>
      <c r="J134">
        <v>0</v>
      </c>
      <c r="K134">
        <v>1221868</v>
      </c>
      <c r="L134">
        <v>0</v>
      </c>
      <c r="M134">
        <v>0</v>
      </c>
      <c r="N134">
        <v>351</v>
      </c>
      <c r="O134">
        <v>28</v>
      </c>
      <c r="P134" t="s">
        <v>25</v>
      </c>
      <c r="Q134">
        <v>2426659</v>
      </c>
      <c r="R134" t="s">
        <v>49</v>
      </c>
      <c r="S134" t="s">
        <v>33</v>
      </c>
      <c r="T134" t="s">
        <v>45</v>
      </c>
    </row>
    <row r="135" spans="1:20" x14ac:dyDescent="0.3">
      <c r="A135" t="s">
        <v>295</v>
      </c>
      <c r="B135" s="1">
        <v>45959</v>
      </c>
      <c r="C135" s="1" t="s">
        <v>1330</v>
      </c>
      <c r="D135" t="s">
        <v>219</v>
      </c>
      <c r="E135" t="s">
        <v>55</v>
      </c>
      <c r="F135" t="s">
        <v>21</v>
      </c>
      <c r="G135" t="s">
        <v>68</v>
      </c>
      <c r="H135" t="s">
        <v>31</v>
      </c>
      <c r="I135">
        <v>0</v>
      </c>
      <c r="J135">
        <v>0</v>
      </c>
      <c r="K135">
        <v>1971506</v>
      </c>
      <c r="L135">
        <v>0</v>
      </c>
      <c r="M135">
        <v>0</v>
      </c>
      <c r="N135">
        <v>496</v>
      </c>
      <c r="O135">
        <v>59</v>
      </c>
      <c r="P135" t="s">
        <v>32</v>
      </c>
      <c r="Q135">
        <v>216365</v>
      </c>
      <c r="R135" t="s">
        <v>26</v>
      </c>
      <c r="S135" t="s">
        <v>65</v>
      </c>
      <c r="T135" t="s">
        <v>41</v>
      </c>
    </row>
    <row r="136" spans="1:20" x14ac:dyDescent="0.3">
      <c r="A136" t="s">
        <v>296</v>
      </c>
      <c r="B136" s="1">
        <v>45775</v>
      </c>
      <c r="C136" s="1" t="s">
        <v>1324</v>
      </c>
      <c r="D136" t="s">
        <v>297</v>
      </c>
      <c r="E136" t="s">
        <v>55</v>
      </c>
      <c r="F136" t="s">
        <v>21</v>
      </c>
      <c r="G136" t="s">
        <v>68</v>
      </c>
      <c r="H136" t="s">
        <v>56</v>
      </c>
      <c r="I136">
        <v>181332</v>
      </c>
      <c r="J136">
        <v>0</v>
      </c>
      <c r="K136">
        <v>0</v>
      </c>
      <c r="L136">
        <v>0</v>
      </c>
      <c r="M136">
        <v>0</v>
      </c>
      <c r="N136">
        <v>324</v>
      </c>
      <c r="O136">
        <v>21</v>
      </c>
      <c r="P136" t="s">
        <v>25</v>
      </c>
      <c r="Q136">
        <v>1100217</v>
      </c>
      <c r="R136" t="s">
        <v>26</v>
      </c>
      <c r="S136" t="s">
        <v>27</v>
      </c>
      <c r="T136" t="s">
        <v>45</v>
      </c>
    </row>
    <row r="137" spans="1:20" x14ac:dyDescent="0.3">
      <c r="A137" t="s">
        <v>298</v>
      </c>
      <c r="B137" s="1">
        <v>45788</v>
      </c>
      <c r="C137" s="1" t="s">
        <v>1325</v>
      </c>
      <c r="D137" t="s">
        <v>299</v>
      </c>
      <c r="E137" t="s">
        <v>63</v>
      </c>
      <c r="F137" t="s">
        <v>22</v>
      </c>
      <c r="G137" t="s">
        <v>68</v>
      </c>
      <c r="H137" t="s">
        <v>56</v>
      </c>
      <c r="I137">
        <v>62891</v>
      </c>
      <c r="J137">
        <v>0</v>
      </c>
      <c r="K137">
        <v>0</v>
      </c>
      <c r="L137">
        <v>0</v>
      </c>
      <c r="M137">
        <v>0</v>
      </c>
      <c r="N137">
        <v>792</v>
      </c>
      <c r="O137">
        <v>69</v>
      </c>
      <c r="P137" t="s">
        <v>32</v>
      </c>
      <c r="Q137">
        <v>2655171</v>
      </c>
      <c r="R137" t="s">
        <v>26</v>
      </c>
      <c r="S137" t="s">
        <v>27</v>
      </c>
      <c r="T137" t="s">
        <v>28</v>
      </c>
    </row>
    <row r="138" spans="1:20" x14ac:dyDescent="0.3">
      <c r="A138" t="s">
        <v>300</v>
      </c>
      <c r="B138" s="1">
        <v>45821</v>
      </c>
      <c r="C138" s="1" t="s">
        <v>1326</v>
      </c>
      <c r="D138" t="s">
        <v>247</v>
      </c>
      <c r="E138" t="s">
        <v>37</v>
      </c>
      <c r="F138" t="s">
        <v>44</v>
      </c>
      <c r="G138" t="s">
        <v>59</v>
      </c>
      <c r="H138" t="s">
        <v>56</v>
      </c>
      <c r="I138">
        <v>149161</v>
      </c>
      <c r="J138">
        <v>0</v>
      </c>
      <c r="K138">
        <v>0</v>
      </c>
      <c r="L138">
        <v>0</v>
      </c>
      <c r="M138">
        <v>0</v>
      </c>
      <c r="N138">
        <v>627</v>
      </c>
      <c r="O138">
        <v>59</v>
      </c>
      <c r="P138" t="s">
        <v>25</v>
      </c>
      <c r="Q138">
        <v>364880</v>
      </c>
      <c r="R138" t="s">
        <v>49</v>
      </c>
      <c r="S138" t="s">
        <v>27</v>
      </c>
      <c r="T138" t="s">
        <v>60</v>
      </c>
    </row>
    <row r="139" spans="1:20" x14ac:dyDescent="0.3">
      <c r="A139" t="s">
        <v>301</v>
      </c>
      <c r="B139" s="1">
        <v>45684</v>
      </c>
      <c r="C139" s="1" t="s">
        <v>1321</v>
      </c>
      <c r="D139" t="s">
        <v>240</v>
      </c>
      <c r="E139" t="s">
        <v>77</v>
      </c>
      <c r="F139" t="s">
        <v>38</v>
      </c>
      <c r="G139" t="s">
        <v>23</v>
      </c>
      <c r="H139" t="s">
        <v>56</v>
      </c>
      <c r="I139">
        <v>149073</v>
      </c>
      <c r="J139">
        <v>0</v>
      </c>
      <c r="K139">
        <v>0</v>
      </c>
      <c r="L139">
        <v>0</v>
      </c>
      <c r="M139">
        <v>0</v>
      </c>
      <c r="N139">
        <v>814</v>
      </c>
      <c r="O139">
        <v>54</v>
      </c>
      <c r="P139" t="s">
        <v>25</v>
      </c>
      <c r="Q139">
        <v>1745319</v>
      </c>
      <c r="R139" t="s">
        <v>26</v>
      </c>
      <c r="S139" t="s">
        <v>27</v>
      </c>
      <c r="T139" t="s">
        <v>45</v>
      </c>
    </row>
    <row r="140" spans="1:20" x14ac:dyDescent="0.3">
      <c r="A140" t="s">
        <v>302</v>
      </c>
      <c r="B140" s="1">
        <v>45938</v>
      </c>
      <c r="C140" s="1" t="s">
        <v>1330</v>
      </c>
      <c r="D140" t="s">
        <v>303</v>
      </c>
      <c r="E140" t="s">
        <v>37</v>
      </c>
      <c r="F140" t="s">
        <v>21</v>
      </c>
      <c r="G140" t="s">
        <v>39</v>
      </c>
      <c r="H140" t="s">
        <v>52</v>
      </c>
      <c r="I140">
        <v>0</v>
      </c>
      <c r="J140">
        <v>0</v>
      </c>
      <c r="K140">
        <v>0</v>
      </c>
      <c r="L140">
        <v>32293</v>
      </c>
      <c r="M140">
        <v>0</v>
      </c>
      <c r="N140">
        <v>724</v>
      </c>
      <c r="O140">
        <v>64</v>
      </c>
      <c r="P140" t="s">
        <v>25</v>
      </c>
      <c r="Q140">
        <v>1732715</v>
      </c>
      <c r="R140" t="s">
        <v>26</v>
      </c>
      <c r="S140" t="s">
        <v>33</v>
      </c>
      <c r="T140" t="s">
        <v>60</v>
      </c>
    </row>
    <row r="141" spans="1:20" x14ac:dyDescent="0.3">
      <c r="A141" t="s">
        <v>304</v>
      </c>
      <c r="B141" s="1">
        <v>45879</v>
      </c>
      <c r="C141" s="1" t="s">
        <v>1328</v>
      </c>
      <c r="D141" t="s">
        <v>305</v>
      </c>
      <c r="E141" t="s">
        <v>21</v>
      </c>
      <c r="F141" t="s">
        <v>22</v>
      </c>
      <c r="G141" t="s">
        <v>23</v>
      </c>
      <c r="H141" t="s">
        <v>31</v>
      </c>
      <c r="I141">
        <v>0</v>
      </c>
      <c r="J141">
        <v>0</v>
      </c>
      <c r="K141">
        <v>1887371</v>
      </c>
      <c r="L141">
        <v>0</v>
      </c>
      <c r="M141">
        <v>0</v>
      </c>
      <c r="N141">
        <v>313</v>
      </c>
      <c r="O141">
        <v>18</v>
      </c>
      <c r="P141" t="s">
        <v>32</v>
      </c>
      <c r="Q141">
        <v>1303023</v>
      </c>
      <c r="R141" t="s">
        <v>49</v>
      </c>
      <c r="S141" t="s">
        <v>33</v>
      </c>
      <c r="T141" t="s">
        <v>34</v>
      </c>
    </row>
    <row r="142" spans="1:20" x14ac:dyDescent="0.3">
      <c r="A142" t="s">
        <v>306</v>
      </c>
      <c r="B142" s="1">
        <v>45904</v>
      </c>
      <c r="C142" s="1" t="s">
        <v>1329</v>
      </c>
      <c r="D142" t="s">
        <v>293</v>
      </c>
      <c r="E142" t="s">
        <v>55</v>
      </c>
      <c r="F142" t="s">
        <v>38</v>
      </c>
      <c r="G142" t="s">
        <v>23</v>
      </c>
      <c r="H142" t="s">
        <v>24</v>
      </c>
      <c r="I142">
        <v>0</v>
      </c>
      <c r="J142">
        <v>0</v>
      </c>
      <c r="K142">
        <v>0</v>
      </c>
      <c r="L142">
        <v>0</v>
      </c>
      <c r="M142">
        <v>5328.9</v>
      </c>
      <c r="N142">
        <v>867</v>
      </c>
      <c r="O142">
        <v>31</v>
      </c>
      <c r="P142" t="s">
        <v>25</v>
      </c>
      <c r="Q142">
        <v>2742913</v>
      </c>
      <c r="R142" t="s">
        <v>26</v>
      </c>
      <c r="S142" t="s">
        <v>27</v>
      </c>
      <c r="T142" t="s">
        <v>41</v>
      </c>
    </row>
    <row r="143" spans="1:20" x14ac:dyDescent="0.3">
      <c r="A143" t="s">
        <v>307</v>
      </c>
      <c r="B143" s="1">
        <v>45892</v>
      </c>
      <c r="C143" s="1" t="s">
        <v>1328</v>
      </c>
      <c r="D143" t="s">
        <v>308</v>
      </c>
      <c r="E143" t="s">
        <v>77</v>
      </c>
      <c r="F143" t="s">
        <v>64</v>
      </c>
      <c r="G143" t="s">
        <v>59</v>
      </c>
      <c r="H143" t="s">
        <v>40</v>
      </c>
      <c r="I143">
        <v>0</v>
      </c>
      <c r="J143">
        <v>55881</v>
      </c>
      <c r="K143">
        <v>0</v>
      </c>
      <c r="L143">
        <v>0</v>
      </c>
      <c r="M143">
        <v>0</v>
      </c>
      <c r="N143">
        <v>578</v>
      </c>
      <c r="O143">
        <v>67</v>
      </c>
      <c r="P143" t="s">
        <v>25</v>
      </c>
      <c r="Q143">
        <v>1998168</v>
      </c>
      <c r="R143" t="s">
        <v>49</v>
      </c>
      <c r="S143" t="s">
        <v>27</v>
      </c>
      <c r="T143" t="s">
        <v>28</v>
      </c>
    </row>
    <row r="144" spans="1:20" x14ac:dyDescent="0.3">
      <c r="A144" t="s">
        <v>309</v>
      </c>
      <c r="B144" s="1">
        <v>45805</v>
      </c>
      <c r="C144" s="1" t="s">
        <v>1325</v>
      </c>
      <c r="D144" t="s">
        <v>169</v>
      </c>
      <c r="E144" t="s">
        <v>63</v>
      </c>
      <c r="F144" t="s">
        <v>21</v>
      </c>
      <c r="G144" t="s">
        <v>68</v>
      </c>
      <c r="H144" t="s">
        <v>52</v>
      </c>
      <c r="I144">
        <v>0</v>
      </c>
      <c r="J144">
        <v>0</v>
      </c>
      <c r="K144">
        <v>0</v>
      </c>
      <c r="L144">
        <v>42657</v>
      </c>
      <c r="M144">
        <v>0</v>
      </c>
      <c r="N144">
        <v>634</v>
      </c>
      <c r="O144">
        <v>20</v>
      </c>
      <c r="P144" t="s">
        <v>25</v>
      </c>
      <c r="Q144">
        <v>2252839</v>
      </c>
      <c r="R144" t="s">
        <v>49</v>
      </c>
      <c r="S144" t="s">
        <v>33</v>
      </c>
      <c r="T144" t="s">
        <v>34</v>
      </c>
    </row>
    <row r="145" spans="1:20" x14ac:dyDescent="0.3">
      <c r="A145" t="s">
        <v>310</v>
      </c>
      <c r="B145" s="1">
        <v>45832</v>
      </c>
      <c r="C145" s="1" t="s">
        <v>1326</v>
      </c>
      <c r="D145" t="s">
        <v>181</v>
      </c>
      <c r="E145" t="s">
        <v>48</v>
      </c>
      <c r="F145" t="s">
        <v>64</v>
      </c>
      <c r="G145" t="s">
        <v>23</v>
      </c>
      <c r="H145" t="s">
        <v>56</v>
      </c>
      <c r="I145">
        <v>30842</v>
      </c>
      <c r="J145">
        <v>0</v>
      </c>
      <c r="K145">
        <v>0</v>
      </c>
      <c r="L145">
        <v>0</v>
      </c>
      <c r="M145">
        <v>0</v>
      </c>
      <c r="N145">
        <v>336</v>
      </c>
      <c r="O145">
        <v>45</v>
      </c>
      <c r="P145" t="s">
        <v>25</v>
      </c>
      <c r="Q145">
        <v>879311</v>
      </c>
      <c r="R145" t="s">
        <v>26</v>
      </c>
      <c r="S145" t="s">
        <v>27</v>
      </c>
      <c r="T145" t="s">
        <v>41</v>
      </c>
    </row>
    <row r="146" spans="1:20" x14ac:dyDescent="0.3">
      <c r="A146" t="s">
        <v>311</v>
      </c>
      <c r="B146" s="1">
        <v>45834</v>
      </c>
      <c r="C146" s="1" t="s">
        <v>1326</v>
      </c>
      <c r="D146" t="s">
        <v>312</v>
      </c>
      <c r="E146" t="s">
        <v>37</v>
      </c>
      <c r="F146" t="s">
        <v>22</v>
      </c>
      <c r="G146" t="s">
        <v>23</v>
      </c>
      <c r="H146" t="s">
        <v>31</v>
      </c>
      <c r="I146">
        <v>0</v>
      </c>
      <c r="J146">
        <v>0</v>
      </c>
      <c r="K146">
        <v>1318512</v>
      </c>
      <c r="L146">
        <v>0</v>
      </c>
      <c r="M146">
        <v>0</v>
      </c>
      <c r="N146">
        <v>383</v>
      </c>
      <c r="O146">
        <v>55</v>
      </c>
      <c r="P146" t="s">
        <v>32</v>
      </c>
      <c r="Q146">
        <v>1341566</v>
      </c>
      <c r="R146" t="s">
        <v>26</v>
      </c>
      <c r="S146" t="s">
        <v>65</v>
      </c>
      <c r="T146" t="s">
        <v>34</v>
      </c>
    </row>
    <row r="147" spans="1:20" x14ac:dyDescent="0.3">
      <c r="A147" t="s">
        <v>313</v>
      </c>
      <c r="B147" s="1">
        <v>45873</v>
      </c>
      <c r="C147" s="1" t="s">
        <v>1328</v>
      </c>
      <c r="D147" t="s">
        <v>283</v>
      </c>
      <c r="E147" t="s">
        <v>77</v>
      </c>
      <c r="F147" t="s">
        <v>22</v>
      </c>
      <c r="G147" t="s">
        <v>39</v>
      </c>
      <c r="H147" t="s">
        <v>31</v>
      </c>
      <c r="I147">
        <v>0</v>
      </c>
      <c r="J147">
        <v>0</v>
      </c>
      <c r="K147">
        <v>1846805</v>
      </c>
      <c r="L147">
        <v>0</v>
      </c>
      <c r="M147">
        <v>0</v>
      </c>
      <c r="N147">
        <v>518</v>
      </c>
      <c r="O147">
        <v>65</v>
      </c>
      <c r="P147" t="s">
        <v>32</v>
      </c>
      <c r="Q147">
        <v>1622889</v>
      </c>
      <c r="R147" t="s">
        <v>49</v>
      </c>
      <c r="S147" t="s">
        <v>33</v>
      </c>
      <c r="T147" t="s">
        <v>34</v>
      </c>
    </row>
    <row r="148" spans="1:20" x14ac:dyDescent="0.3">
      <c r="A148" t="s">
        <v>314</v>
      </c>
      <c r="B148" s="1">
        <v>45833</v>
      </c>
      <c r="C148" s="1" t="s">
        <v>1326</v>
      </c>
      <c r="D148" t="s">
        <v>315</v>
      </c>
      <c r="E148" t="s">
        <v>77</v>
      </c>
      <c r="F148" t="s">
        <v>22</v>
      </c>
      <c r="G148" t="s">
        <v>23</v>
      </c>
      <c r="H148" t="s">
        <v>52</v>
      </c>
      <c r="I148">
        <v>0</v>
      </c>
      <c r="J148">
        <v>0</v>
      </c>
      <c r="K148">
        <v>0</v>
      </c>
      <c r="L148">
        <v>49438</v>
      </c>
      <c r="M148">
        <v>0</v>
      </c>
      <c r="N148">
        <v>511</v>
      </c>
      <c r="O148">
        <v>22</v>
      </c>
      <c r="P148" t="s">
        <v>32</v>
      </c>
      <c r="Q148">
        <v>2086063</v>
      </c>
      <c r="R148" t="s">
        <v>26</v>
      </c>
      <c r="S148" t="s">
        <v>33</v>
      </c>
      <c r="T148" t="s">
        <v>28</v>
      </c>
    </row>
    <row r="149" spans="1:20" x14ac:dyDescent="0.3">
      <c r="A149" t="s">
        <v>316</v>
      </c>
      <c r="B149" s="1">
        <v>45732</v>
      </c>
      <c r="C149" s="1" t="s">
        <v>1323</v>
      </c>
      <c r="D149" t="s">
        <v>233</v>
      </c>
      <c r="E149" t="s">
        <v>21</v>
      </c>
      <c r="F149" t="s">
        <v>44</v>
      </c>
      <c r="G149" t="s">
        <v>39</v>
      </c>
      <c r="H149" t="s">
        <v>31</v>
      </c>
      <c r="I149">
        <v>0</v>
      </c>
      <c r="J149">
        <v>0</v>
      </c>
      <c r="K149">
        <v>422913</v>
      </c>
      <c r="L149">
        <v>0</v>
      </c>
      <c r="M149">
        <v>0</v>
      </c>
      <c r="N149">
        <v>782</v>
      </c>
      <c r="O149">
        <v>68</v>
      </c>
      <c r="P149" t="s">
        <v>32</v>
      </c>
      <c r="Q149">
        <v>1081033</v>
      </c>
      <c r="R149" t="s">
        <v>26</v>
      </c>
      <c r="S149" t="s">
        <v>65</v>
      </c>
      <c r="T149" t="s">
        <v>60</v>
      </c>
    </row>
    <row r="150" spans="1:20" x14ac:dyDescent="0.3">
      <c r="A150" t="s">
        <v>317</v>
      </c>
      <c r="B150" s="1">
        <v>45798</v>
      </c>
      <c r="C150" s="1" t="s">
        <v>1325</v>
      </c>
      <c r="D150" t="s">
        <v>114</v>
      </c>
      <c r="E150" t="s">
        <v>77</v>
      </c>
      <c r="F150" t="s">
        <v>21</v>
      </c>
      <c r="G150" t="s">
        <v>39</v>
      </c>
      <c r="H150" t="s">
        <v>40</v>
      </c>
      <c r="I150">
        <v>0</v>
      </c>
      <c r="J150">
        <v>53667</v>
      </c>
      <c r="K150">
        <v>0</v>
      </c>
      <c r="L150">
        <v>0</v>
      </c>
      <c r="M150">
        <v>0</v>
      </c>
      <c r="N150">
        <v>806</v>
      </c>
      <c r="O150">
        <v>64</v>
      </c>
      <c r="P150" t="s">
        <v>32</v>
      </c>
      <c r="Q150">
        <v>2330307</v>
      </c>
      <c r="R150" t="s">
        <v>49</v>
      </c>
      <c r="S150" t="s">
        <v>27</v>
      </c>
      <c r="T150" t="s">
        <v>28</v>
      </c>
    </row>
    <row r="151" spans="1:20" x14ac:dyDescent="0.3">
      <c r="A151" t="s">
        <v>318</v>
      </c>
      <c r="B151" s="1">
        <v>45809</v>
      </c>
      <c r="C151" s="1" t="s">
        <v>1326</v>
      </c>
      <c r="D151" t="s">
        <v>319</v>
      </c>
      <c r="E151" t="s">
        <v>48</v>
      </c>
      <c r="F151" t="s">
        <v>38</v>
      </c>
      <c r="G151" t="s">
        <v>68</v>
      </c>
      <c r="H151" t="s">
        <v>52</v>
      </c>
      <c r="I151">
        <v>0</v>
      </c>
      <c r="J151">
        <v>0</v>
      </c>
      <c r="K151">
        <v>0</v>
      </c>
      <c r="L151">
        <v>39416</v>
      </c>
      <c r="M151">
        <v>0</v>
      </c>
      <c r="N151">
        <v>384</v>
      </c>
      <c r="O151">
        <v>34</v>
      </c>
      <c r="P151" t="s">
        <v>32</v>
      </c>
      <c r="Q151">
        <v>1313299</v>
      </c>
      <c r="R151" t="s">
        <v>26</v>
      </c>
      <c r="S151" t="s">
        <v>71</v>
      </c>
      <c r="T151" t="s">
        <v>60</v>
      </c>
    </row>
    <row r="152" spans="1:20" x14ac:dyDescent="0.3">
      <c r="A152" t="s">
        <v>320</v>
      </c>
      <c r="B152" s="1">
        <v>45869</v>
      </c>
      <c r="C152" s="1" t="s">
        <v>1327</v>
      </c>
      <c r="D152" t="s">
        <v>84</v>
      </c>
      <c r="E152" t="s">
        <v>21</v>
      </c>
      <c r="F152" t="s">
        <v>22</v>
      </c>
      <c r="G152" t="s">
        <v>59</v>
      </c>
      <c r="H152" t="s">
        <v>56</v>
      </c>
      <c r="I152">
        <v>31274</v>
      </c>
      <c r="J152">
        <v>0</v>
      </c>
      <c r="K152">
        <v>0</v>
      </c>
      <c r="L152">
        <v>0</v>
      </c>
      <c r="M152">
        <v>0</v>
      </c>
      <c r="N152">
        <v>563</v>
      </c>
      <c r="O152">
        <v>20</v>
      </c>
      <c r="P152" t="s">
        <v>32</v>
      </c>
      <c r="Q152">
        <v>2521374</v>
      </c>
      <c r="R152" t="s">
        <v>49</v>
      </c>
      <c r="S152" t="s">
        <v>27</v>
      </c>
      <c r="T152" t="s">
        <v>34</v>
      </c>
    </row>
    <row r="153" spans="1:20" x14ac:dyDescent="0.3">
      <c r="A153" t="s">
        <v>321</v>
      </c>
      <c r="B153" s="1">
        <v>45893</v>
      </c>
      <c r="C153" s="1" t="s">
        <v>1328</v>
      </c>
      <c r="D153" t="s">
        <v>183</v>
      </c>
      <c r="E153" t="s">
        <v>21</v>
      </c>
      <c r="F153" t="s">
        <v>44</v>
      </c>
      <c r="G153" t="s">
        <v>23</v>
      </c>
      <c r="H153" t="s">
        <v>40</v>
      </c>
      <c r="I153">
        <v>0</v>
      </c>
      <c r="J153">
        <v>48620</v>
      </c>
      <c r="K153">
        <v>0</v>
      </c>
      <c r="L153">
        <v>0</v>
      </c>
      <c r="M153">
        <v>0</v>
      </c>
      <c r="N153">
        <v>768</v>
      </c>
      <c r="O153">
        <v>51</v>
      </c>
      <c r="P153" t="s">
        <v>25</v>
      </c>
      <c r="Q153">
        <v>2732241</v>
      </c>
      <c r="R153" t="s">
        <v>49</v>
      </c>
      <c r="S153" t="s">
        <v>27</v>
      </c>
      <c r="T153" t="s">
        <v>41</v>
      </c>
    </row>
    <row r="154" spans="1:20" x14ac:dyDescent="0.3">
      <c r="A154" t="s">
        <v>322</v>
      </c>
      <c r="B154" s="1">
        <v>45914</v>
      </c>
      <c r="C154" s="1" t="s">
        <v>1329</v>
      </c>
      <c r="D154" t="s">
        <v>93</v>
      </c>
      <c r="E154" t="s">
        <v>77</v>
      </c>
      <c r="F154" t="s">
        <v>44</v>
      </c>
      <c r="G154" t="s">
        <v>39</v>
      </c>
      <c r="H154" t="s">
        <v>31</v>
      </c>
      <c r="I154">
        <v>0</v>
      </c>
      <c r="J154">
        <v>0</v>
      </c>
      <c r="K154">
        <v>484197</v>
      </c>
      <c r="L154">
        <v>0</v>
      </c>
      <c r="M154">
        <v>0</v>
      </c>
      <c r="N154">
        <v>763</v>
      </c>
      <c r="O154">
        <v>43</v>
      </c>
      <c r="P154" t="s">
        <v>32</v>
      </c>
      <c r="Q154">
        <v>273026</v>
      </c>
      <c r="R154" t="s">
        <v>49</v>
      </c>
      <c r="S154" t="s">
        <v>33</v>
      </c>
      <c r="T154" t="s">
        <v>45</v>
      </c>
    </row>
    <row r="155" spans="1:20" x14ac:dyDescent="0.3">
      <c r="A155" t="s">
        <v>323</v>
      </c>
      <c r="B155" s="1">
        <v>45905</v>
      </c>
      <c r="C155" s="1" t="s">
        <v>1329</v>
      </c>
      <c r="D155" t="s">
        <v>324</v>
      </c>
      <c r="E155" t="s">
        <v>48</v>
      </c>
      <c r="F155" t="s">
        <v>64</v>
      </c>
      <c r="G155" t="s">
        <v>68</v>
      </c>
      <c r="H155" t="s">
        <v>24</v>
      </c>
      <c r="I155">
        <v>0</v>
      </c>
      <c r="J155">
        <v>0</v>
      </c>
      <c r="K155">
        <v>0</v>
      </c>
      <c r="L155">
        <v>0</v>
      </c>
      <c r="M155">
        <v>3515.93</v>
      </c>
      <c r="N155">
        <v>493</v>
      </c>
      <c r="O155">
        <v>66</v>
      </c>
      <c r="P155" t="s">
        <v>32</v>
      </c>
      <c r="Q155">
        <v>585314</v>
      </c>
      <c r="R155" t="s">
        <v>26</v>
      </c>
      <c r="S155" t="s">
        <v>27</v>
      </c>
      <c r="T155" t="s">
        <v>41</v>
      </c>
    </row>
    <row r="156" spans="1:20" x14ac:dyDescent="0.3">
      <c r="A156" t="s">
        <v>325</v>
      </c>
      <c r="B156" s="1">
        <v>45877</v>
      </c>
      <c r="C156" s="1" t="s">
        <v>1328</v>
      </c>
      <c r="D156" t="s">
        <v>326</v>
      </c>
      <c r="E156" t="s">
        <v>55</v>
      </c>
      <c r="F156" t="s">
        <v>22</v>
      </c>
      <c r="G156" t="s">
        <v>59</v>
      </c>
      <c r="H156" t="s">
        <v>40</v>
      </c>
      <c r="I156">
        <v>0</v>
      </c>
      <c r="J156">
        <v>96657</v>
      </c>
      <c r="K156">
        <v>0</v>
      </c>
      <c r="L156">
        <v>0</v>
      </c>
      <c r="M156">
        <v>0</v>
      </c>
      <c r="N156">
        <v>606</v>
      </c>
      <c r="O156">
        <v>40</v>
      </c>
      <c r="P156" t="s">
        <v>32</v>
      </c>
      <c r="Q156">
        <v>1820862</v>
      </c>
      <c r="R156" t="s">
        <v>49</v>
      </c>
      <c r="S156" t="s">
        <v>27</v>
      </c>
      <c r="T156" t="s">
        <v>41</v>
      </c>
    </row>
    <row r="157" spans="1:20" x14ac:dyDescent="0.3">
      <c r="A157" t="s">
        <v>327</v>
      </c>
      <c r="B157" s="1">
        <v>45739</v>
      </c>
      <c r="C157" s="1" t="s">
        <v>1323</v>
      </c>
      <c r="D157" t="s">
        <v>328</v>
      </c>
      <c r="E157" t="s">
        <v>37</v>
      </c>
      <c r="F157" t="s">
        <v>38</v>
      </c>
      <c r="G157" t="s">
        <v>68</v>
      </c>
      <c r="H157" t="s">
        <v>40</v>
      </c>
      <c r="I157">
        <v>0</v>
      </c>
      <c r="J157">
        <v>2481</v>
      </c>
      <c r="K157">
        <v>0</v>
      </c>
      <c r="L157">
        <v>0</v>
      </c>
      <c r="M157">
        <v>0</v>
      </c>
      <c r="N157">
        <v>542</v>
      </c>
      <c r="O157">
        <v>19</v>
      </c>
      <c r="P157" t="s">
        <v>32</v>
      </c>
      <c r="Q157">
        <v>2052535</v>
      </c>
      <c r="R157" t="s">
        <v>26</v>
      </c>
      <c r="S157" t="s">
        <v>27</v>
      </c>
      <c r="T157" t="s">
        <v>60</v>
      </c>
    </row>
    <row r="158" spans="1:20" x14ac:dyDescent="0.3">
      <c r="A158" t="s">
        <v>329</v>
      </c>
      <c r="B158" s="1">
        <v>45816</v>
      </c>
      <c r="C158" s="1" t="s">
        <v>1326</v>
      </c>
      <c r="D158" t="s">
        <v>330</v>
      </c>
      <c r="E158" t="s">
        <v>77</v>
      </c>
      <c r="F158" t="s">
        <v>22</v>
      </c>
      <c r="G158" t="s">
        <v>59</v>
      </c>
      <c r="H158" t="s">
        <v>40</v>
      </c>
      <c r="I158">
        <v>0</v>
      </c>
      <c r="J158">
        <v>19450</v>
      </c>
      <c r="K158">
        <v>0</v>
      </c>
      <c r="L158">
        <v>0</v>
      </c>
      <c r="M158">
        <v>0</v>
      </c>
      <c r="N158">
        <v>518</v>
      </c>
      <c r="O158">
        <v>35</v>
      </c>
      <c r="P158" t="s">
        <v>25</v>
      </c>
      <c r="Q158">
        <v>746716</v>
      </c>
      <c r="R158" t="s">
        <v>26</v>
      </c>
      <c r="S158" t="s">
        <v>27</v>
      </c>
      <c r="T158" t="s">
        <v>45</v>
      </c>
    </row>
    <row r="159" spans="1:20" x14ac:dyDescent="0.3">
      <c r="A159" t="s">
        <v>331</v>
      </c>
      <c r="B159" s="1">
        <v>45967</v>
      </c>
      <c r="C159" s="1" t="s">
        <v>1331</v>
      </c>
      <c r="D159" t="s">
        <v>332</v>
      </c>
      <c r="E159" t="s">
        <v>77</v>
      </c>
      <c r="F159" t="s">
        <v>44</v>
      </c>
      <c r="G159" t="s">
        <v>59</v>
      </c>
      <c r="H159" t="s">
        <v>24</v>
      </c>
      <c r="I159">
        <v>0</v>
      </c>
      <c r="J159">
        <v>0</v>
      </c>
      <c r="K159">
        <v>0</v>
      </c>
      <c r="L159">
        <v>0</v>
      </c>
      <c r="M159">
        <v>6330.98</v>
      </c>
      <c r="N159">
        <v>799</v>
      </c>
      <c r="O159">
        <v>24</v>
      </c>
      <c r="P159" t="s">
        <v>25</v>
      </c>
      <c r="Q159">
        <v>1344658</v>
      </c>
      <c r="R159" t="s">
        <v>26</v>
      </c>
      <c r="S159" t="s">
        <v>27</v>
      </c>
      <c r="T159" t="s">
        <v>28</v>
      </c>
    </row>
    <row r="160" spans="1:20" x14ac:dyDescent="0.3">
      <c r="A160" t="s">
        <v>333</v>
      </c>
      <c r="B160" s="1">
        <v>45869</v>
      </c>
      <c r="C160" s="1" t="s">
        <v>1327</v>
      </c>
      <c r="D160" t="s">
        <v>221</v>
      </c>
      <c r="E160" t="s">
        <v>37</v>
      </c>
      <c r="F160" t="s">
        <v>21</v>
      </c>
      <c r="G160" t="s">
        <v>68</v>
      </c>
      <c r="H160" t="s">
        <v>40</v>
      </c>
      <c r="I160">
        <v>0</v>
      </c>
      <c r="J160">
        <v>19318</v>
      </c>
      <c r="K160">
        <v>0</v>
      </c>
      <c r="L160">
        <v>0</v>
      </c>
      <c r="M160">
        <v>0</v>
      </c>
      <c r="N160">
        <v>598</v>
      </c>
      <c r="O160">
        <v>52</v>
      </c>
      <c r="P160" t="s">
        <v>32</v>
      </c>
      <c r="Q160">
        <v>544318</v>
      </c>
      <c r="R160" t="s">
        <v>49</v>
      </c>
      <c r="S160" t="s">
        <v>27</v>
      </c>
      <c r="T160" t="s">
        <v>41</v>
      </c>
    </row>
    <row r="161" spans="1:20" x14ac:dyDescent="0.3">
      <c r="A161" t="s">
        <v>334</v>
      </c>
      <c r="B161" s="1">
        <v>45902</v>
      </c>
      <c r="C161" s="1" t="s">
        <v>1329</v>
      </c>
      <c r="D161" t="s">
        <v>335</v>
      </c>
      <c r="E161" t="s">
        <v>55</v>
      </c>
      <c r="F161" t="s">
        <v>21</v>
      </c>
      <c r="G161" t="s">
        <v>59</v>
      </c>
      <c r="H161" t="s">
        <v>40</v>
      </c>
      <c r="I161">
        <v>0</v>
      </c>
      <c r="J161">
        <v>34267</v>
      </c>
      <c r="K161">
        <v>0</v>
      </c>
      <c r="L161">
        <v>0</v>
      </c>
      <c r="M161">
        <v>0</v>
      </c>
      <c r="N161">
        <v>375</v>
      </c>
      <c r="O161">
        <v>63</v>
      </c>
      <c r="P161" t="s">
        <v>32</v>
      </c>
      <c r="Q161">
        <v>1372383</v>
      </c>
      <c r="R161" t="s">
        <v>49</v>
      </c>
      <c r="S161" t="s">
        <v>27</v>
      </c>
      <c r="T161" t="s">
        <v>45</v>
      </c>
    </row>
    <row r="162" spans="1:20" x14ac:dyDescent="0.3">
      <c r="A162" t="s">
        <v>336</v>
      </c>
      <c r="B162" s="1">
        <v>45724</v>
      </c>
      <c r="C162" s="1" t="s">
        <v>1323</v>
      </c>
      <c r="D162" t="s">
        <v>337</v>
      </c>
      <c r="E162" t="s">
        <v>37</v>
      </c>
      <c r="F162" t="s">
        <v>44</v>
      </c>
      <c r="G162" t="s">
        <v>68</v>
      </c>
      <c r="H162" t="s">
        <v>56</v>
      </c>
      <c r="I162">
        <v>113228</v>
      </c>
      <c r="J162">
        <v>0</v>
      </c>
      <c r="K162">
        <v>0</v>
      </c>
      <c r="L162">
        <v>0</v>
      </c>
      <c r="M162">
        <v>0</v>
      </c>
      <c r="N162">
        <v>854</v>
      </c>
      <c r="O162">
        <v>70</v>
      </c>
      <c r="P162" t="s">
        <v>25</v>
      </c>
      <c r="Q162">
        <v>1496112</v>
      </c>
      <c r="R162" t="s">
        <v>26</v>
      </c>
      <c r="S162" t="s">
        <v>27</v>
      </c>
      <c r="T162" t="s">
        <v>60</v>
      </c>
    </row>
    <row r="163" spans="1:20" x14ac:dyDescent="0.3">
      <c r="A163" t="s">
        <v>338</v>
      </c>
      <c r="B163" s="1">
        <v>45735</v>
      </c>
      <c r="C163" s="1" t="s">
        <v>1323</v>
      </c>
      <c r="D163" t="s">
        <v>339</v>
      </c>
      <c r="E163" t="s">
        <v>77</v>
      </c>
      <c r="F163" t="s">
        <v>64</v>
      </c>
      <c r="G163" t="s">
        <v>59</v>
      </c>
      <c r="H163" t="s">
        <v>56</v>
      </c>
      <c r="I163">
        <v>105472</v>
      </c>
      <c r="J163">
        <v>0</v>
      </c>
      <c r="K163">
        <v>0</v>
      </c>
      <c r="L163">
        <v>0</v>
      </c>
      <c r="M163">
        <v>0</v>
      </c>
      <c r="N163">
        <v>833</v>
      </c>
      <c r="O163">
        <v>48</v>
      </c>
      <c r="P163" t="s">
        <v>32</v>
      </c>
      <c r="Q163">
        <v>1453931</v>
      </c>
      <c r="R163" t="s">
        <v>49</v>
      </c>
      <c r="S163" t="s">
        <v>27</v>
      </c>
      <c r="T163" t="s">
        <v>34</v>
      </c>
    </row>
    <row r="164" spans="1:20" x14ac:dyDescent="0.3">
      <c r="A164" t="s">
        <v>340</v>
      </c>
      <c r="B164" s="1">
        <v>45867</v>
      </c>
      <c r="C164" s="1" t="s">
        <v>1327</v>
      </c>
      <c r="D164" t="s">
        <v>227</v>
      </c>
      <c r="E164" t="s">
        <v>55</v>
      </c>
      <c r="F164" t="s">
        <v>38</v>
      </c>
      <c r="G164" t="s">
        <v>23</v>
      </c>
      <c r="H164" t="s">
        <v>52</v>
      </c>
      <c r="I164">
        <v>0</v>
      </c>
      <c r="J164">
        <v>0</v>
      </c>
      <c r="K164">
        <v>0</v>
      </c>
      <c r="L164">
        <v>47758</v>
      </c>
      <c r="M164">
        <v>0</v>
      </c>
      <c r="N164">
        <v>316</v>
      </c>
      <c r="O164">
        <v>48</v>
      </c>
      <c r="P164" t="s">
        <v>32</v>
      </c>
      <c r="Q164">
        <v>1440745</v>
      </c>
      <c r="R164" t="s">
        <v>26</v>
      </c>
      <c r="S164" t="s">
        <v>33</v>
      </c>
      <c r="T164" t="s">
        <v>34</v>
      </c>
    </row>
    <row r="165" spans="1:20" x14ac:dyDescent="0.3">
      <c r="A165" t="s">
        <v>341</v>
      </c>
      <c r="B165" s="1">
        <v>45992</v>
      </c>
      <c r="C165" s="1" t="s">
        <v>1332</v>
      </c>
      <c r="D165" t="s">
        <v>342</v>
      </c>
      <c r="E165" t="s">
        <v>55</v>
      </c>
      <c r="F165" t="s">
        <v>22</v>
      </c>
      <c r="G165" t="s">
        <v>39</v>
      </c>
      <c r="H165" t="s">
        <v>40</v>
      </c>
      <c r="I165">
        <v>0</v>
      </c>
      <c r="J165">
        <v>57699</v>
      </c>
      <c r="K165">
        <v>0</v>
      </c>
      <c r="L165">
        <v>0</v>
      </c>
      <c r="M165">
        <v>0</v>
      </c>
      <c r="N165">
        <v>605</v>
      </c>
      <c r="O165">
        <v>35</v>
      </c>
      <c r="P165" t="s">
        <v>32</v>
      </c>
      <c r="Q165">
        <v>1234405</v>
      </c>
      <c r="R165" t="s">
        <v>49</v>
      </c>
      <c r="S165" t="s">
        <v>27</v>
      </c>
      <c r="T165" t="s">
        <v>45</v>
      </c>
    </row>
    <row r="166" spans="1:20" x14ac:dyDescent="0.3">
      <c r="A166" t="s">
        <v>343</v>
      </c>
      <c r="B166" s="1">
        <v>45783</v>
      </c>
      <c r="C166" s="1" t="s">
        <v>1325</v>
      </c>
      <c r="D166" t="s">
        <v>344</v>
      </c>
      <c r="E166" t="s">
        <v>37</v>
      </c>
      <c r="F166" t="s">
        <v>21</v>
      </c>
      <c r="G166" t="s">
        <v>59</v>
      </c>
      <c r="H166" t="s">
        <v>40</v>
      </c>
      <c r="I166">
        <v>0</v>
      </c>
      <c r="J166">
        <v>39496</v>
      </c>
      <c r="K166">
        <v>0</v>
      </c>
      <c r="L166">
        <v>0</v>
      </c>
      <c r="M166">
        <v>0</v>
      </c>
      <c r="N166">
        <v>827</v>
      </c>
      <c r="O166">
        <v>44</v>
      </c>
      <c r="P166" t="s">
        <v>32</v>
      </c>
      <c r="Q166">
        <v>2649972</v>
      </c>
      <c r="R166" t="s">
        <v>49</v>
      </c>
      <c r="S166" t="s">
        <v>27</v>
      </c>
      <c r="T166" t="s">
        <v>34</v>
      </c>
    </row>
    <row r="167" spans="1:20" x14ac:dyDescent="0.3">
      <c r="A167" t="s">
        <v>345</v>
      </c>
      <c r="B167" s="1">
        <v>45857</v>
      </c>
      <c r="C167" s="1" t="s">
        <v>1327</v>
      </c>
      <c r="D167" t="s">
        <v>346</v>
      </c>
      <c r="E167" t="s">
        <v>48</v>
      </c>
      <c r="F167" t="s">
        <v>64</v>
      </c>
      <c r="G167" t="s">
        <v>68</v>
      </c>
      <c r="H167" t="s">
        <v>52</v>
      </c>
      <c r="I167">
        <v>0</v>
      </c>
      <c r="J167">
        <v>0</v>
      </c>
      <c r="K167">
        <v>0</v>
      </c>
      <c r="L167">
        <v>33279</v>
      </c>
      <c r="M167">
        <v>0</v>
      </c>
      <c r="N167">
        <v>717</v>
      </c>
      <c r="O167">
        <v>34</v>
      </c>
      <c r="P167" t="s">
        <v>25</v>
      </c>
      <c r="Q167">
        <v>2697153</v>
      </c>
      <c r="R167" t="s">
        <v>26</v>
      </c>
      <c r="S167" t="s">
        <v>33</v>
      </c>
      <c r="T167" t="s">
        <v>28</v>
      </c>
    </row>
    <row r="168" spans="1:20" x14ac:dyDescent="0.3">
      <c r="A168" t="s">
        <v>347</v>
      </c>
      <c r="B168" s="1">
        <v>45970</v>
      </c>
      <c r="C168" s="1" t="s">
        <v>1331</v>
      </c>
      <c r="D168" t="s">
        <v>348</v>
      </c>
      <c r="E168" t="s">
        <v>63</v>
      </c>
      <c r="F168" t="s">
        <v>22</v>
      </c>
      <c r="G168" t="s">
        <v>39</v>
      </c>
      <c r="H168" t="s">
        <v>31</v>
      </c>
      <c r="I168">
        <v>0</v>
      </c>
      <c r="J168">
        <v>0</v>
      </c>
      <c r="K168">
        <v>522208</v>
      </c>
      <c r="L168">
        <v>0</v>
      </c>
      <c r="M168">
        <v>0</v>
      </c>
      <c r="N168">
        <v>697</v>
      </c>
      <c r="O168">
        <v>51</v>
      </c>
      <c r="P168" t="s">
        <v>25</v>
      </c>
      <c r="Q168">
        <v>1369453</v>
      </c>
      <c r="R168" t="s">
        <v>26</v>
      </c>
      <c r="S168" t="s">
        <v>33</v>
      </c>
      <c r="T168" t="s">
        <v>28</v>
      </c>
    </row>
    <row r="169" spans="1:20" x14ac:dyDescent="0.3">
      <c r="A169" t="s">
        <v>349</v>
      </c>
      <c r="B169" s="1">
        <v>46006</v>
      </c>
      <c r="C169" s="1" t="s">
        <v>1332</v>
      </c>
      <c r="D169" t="s">
        <v>350</v>
      </c>
      <c r="E169" t="s">
        <v>55</v>
      </c>
      <c r="F169" t="s">
        <v>38</v>
      </c>
      <c r="G169" t="s">
        <v>23</v>
      </c>
      <c r="H169" t="s">
        <v>24</v>
      </c>
      <c r="I169">
        <v>0</v>
      </c>
      <c r="J169">
        <v>0</v>
      </c>
      <c r="K169">
        <v>0</v>
      </c>
      <c r="L169">
        <v>0</v>
      </c>
      <c r="M169">
        <v>825.29</v>
      </c>
      <c r="N169">
        <v>851</v>
      </c>
      <c r="O169">
        <v>28</v>
      </c>
      <c r="P169" t="s">
        <v>25</v>
      </c>
      <c r="Q169">
        <v>2601811</v>
      </c>
      <c r="R169" t="s">
        <v>26</v>
      </c>
      <c r="S169" t="s">
        <v>27</v>
      </c>
      <c r="T169" t="s">
        <v>60</v>
      </c>
    </row>
    <row r="170" spans="1:20" x14ac:dyDescent="0.3">
      <c r="A170" t="s">
        <v>351</v>
      </c>
      <c r="B170" s="1">
        <v>45991</v>
      </c>
      <c r="C170" s="1" t="s">
        <v>1331</v>
      </c>
      <c r="D170" t="s">
        <v>108</v>
      </c>
      <c r="E170" t="s">
        <v>21</v>
      </c>
      <c r="F170" t="s">
        <v>22</v>
      </c>
      <c r="G170" t="s">
        <v>39</v>
      </c>
      <c r="H170" t="s">
        <v>52</v>
      </c>
      <c r="I170">
        <v>0</v>
      </c>
      <c r="J170">
        <v>0</v>
      </c>
      <c r="K170">
        <v>0</v>
      </c>
      <c r="L170">
        <v>12089</v>
      </c>
      <c r="M170">
        <v>0</v>
      </c>
      <c r="N170">
        <v>896</v>
      </c>
      <c r="O170">
        <v>27</v>
      </c>
      <c r="P170" t="s">
        <v>25</v>
      </c>
      <c r="Q170">
        <v>577586</v>
      </c>
      <c r="R170" t="s">
        <v>49</v>
      </c>
      <c r="S170" t="s">
        <v>33</v>
      </c>
      <c r="T170" t="s">
        <v>41</v>
      </c>
    </row>
    <row r="171" spans="1:20" x14ac:dyDescent="0.3">
      <c r="A171" t="s">
        <v>352</v>
      </c>
      <c r="B171" s="1">
        <v>45755</v>
      </c>
      <c r="C171" s="1" t="s">
        <v>1324</v>
      </c>
      <c r="D171" t="s">
        <v>200</v>
      </c>
      <c r="E171" t="s">
        <v>77</v>
      </c>
      <c r="F171" t="s">
        <v>21</v>
      </c>
      <c r="G171" t="s">
        <v>68</v>
      </c>
      <c r="H171" t="s">
        <v>56</v>
      </c>
      <c r="I171">
        <v>94058</v>
      </c>
      <c r="J171">
        <v>0</v>
      </c>
      <c r="K171">
        <v>0</v>
      </c>
      <c r="L171">
        <v>0</v>
      </c>
      <c r="M171">
        <v>0</v>
      </c>
      <c r="N171">
        <v>816</v>
      </c>
      <c r="O171">
        <v>42</v>
      </c>
      <c r="P171" t="s">
        <v>25</v>
      </c>
      <c r="Q171">
        <v>2957559</v>
      </c>
      <c r="R171" t="s">
        <v>49</v>
      </c>
      <c r="S171" t="s">
        <v>27</v>
      </c>
      <c r="T171" t="s">
        <v>34</v>
      </c>
    </row>
    <row r="172" spans="1:20" x14ac:dyDescent="0.3">
      <c r="A172" t="s">
        <v>353</v>
      </c>
      <c r="B172" s="1">
        <v>45860</v>
      </c>
      <c r="C172" s="1" t="s">
        <v>1327</v>
      </c>
      <c r="D172" t="s">
        <v>354</v>
      </c>
      <c r="E172" t="s">
        <v>37</v>
      </c>
      <c r="F172" t="s">
        <v>44</v>
      </c>
      <c r="G172" t="s">
        <v>39</v>
      </c>
      <c r="H172" t="s">
        <v>56</v>
      </c>
      <c r="I172">
        <v>58503</v>
      </c>
      <c r="J172">
        <v>0</v>
      </c>
      <c r="K172">
        <v>0</v>
      </c>
      <c r="L172">
        <v>0</v>
      </c>
      <c r="M172">
        <v>0</v>
      </c>
      <c r="N172">
        <v>879</v>
      </c>
      <c r="O172">
        <v>58</v>
      </c>
      <c r="P172" t="s">
        <v>32</v>
      </c>
      <c r="Q172">
        <v>1209860</v>
      </c>
      <c r="R172" t="s">
        <v>26</v>
      </c>
      <c r="S172" t="s">
        <v>27</v>
      </c>
      <c r="T172" t="s">
        <v>45</v>
      </c>
    </row>
    <row r="173" spans="1:20" x14ac:dyDescent="0.3">
      <c r="A173" t="s">
        <v>355</v>
      </c>
      <c r="B173" s="1">
        <v>45799</v>
      </c>
      <c r="C173" s="1" t="s">
        <v>1325</v>
      </c>
      <c r="D173" t="s">
        <v>354</v>
      </c>
      <c r="E173" t="s">
        <v>21</v>
      </c>
      <c r="F173" t="s">
        <v>44</v>
      </c>
      <c r="G173" t="s">
        <v>39</v>
      </c>
      <c r="H173" t="s">
        <v>31</v>
      </c>
      <c r="I173">
        <v>0</v>
      </c>
      <c r="J173">
        <v>0</v>
      </c>
      <c r="K173">
        <v>1660573</v>
      </c>
      <c r="L173">
        <v>0</v>
      </c>
      <c r="M173">
        <v>0</v>
      </c>
      <c r="N173">
        <v>328</v>
      </c>
      <c r="O173">
        <v>65</v>
      </c>
      <c r="P173" t="s">
        <v>25</v>
      </c>
      <c r="Q173">
        <v>1964836</v>
      </c>
      <c r="R173" t="s">
        <v>26</v>
      </c>
      <c r="S173" t="s">
        <v>65</v>
      </c>
      <c r="T173" t="s">
        <v>34</v>
      </c>
    </row>
    <row r="174" spans="1:20" x14ac:dyDescent="0.3">
      <c r="A174" t="s">
        <v>356</v>
      </c>
      <c r="B174" s="1">
        <v>45881</v>
      </c>
      <c r="C174" s="1" t="s">
        <v>1328</v>
      </c>
      <c r="D174" t="s">
        <v>357</v>
      </c>
      <c r="E174" t="s">
        <v>48</v>
      </c>
      <c r="F174" t="s">
        <v>38</v>
      </c>
      <c r="G174" t="s">
        <v>23</v>
      </c>
      <c r="H174" t="s">
        <v>52</v>
      </c>
      <c r="I174">
        <v>0</v>
      </c>
      <c r="J174">
        <v>0</v>
      </c>
      <c r="K174">
        <v>0</v>
      </c>
      <c r="L174">
        <v>18141</v>
      </c>
      <c r="M174">
        <v>0</v>
      </c>
      <c r="N174">
        <v>510</v>
      </c>
      <c r="O174">
        <v>21</v>
      </c>
      <c r="P174" t="s">
        <v>25</v>
      </c>
      <c r="Q174">
        <v>375848</v>
      </c>
      <c r="R174" t="s">
        <v>26</v>
      </c>
      <c r="S174" t="s">
        <v>33</v>
      </c>
      <c r="T174" t="s">
        <v>45</v>
      </c>
    </row>
    <row r="175" spans="1:20" x14ac:dyDescent="0.3">
      <c r="A175" t="s">
        <v>358</v>
      </c>
      <c r="B175" s="1">
        <v>45667</v>
      </c>
      <c r="C175" s="1" t="s">
        <v>1321</v>
      </c>
      <c r="D175" t="s">
        <v>122</v>
      </c>
      <c r="E175" t="s">
        <v>21</v>
      </c>
      <c r="F175" t="s">
        <v>64</v>
      </c>
      <c r="G175" t="s">
        <v>23</v>
      </c>
      <c r="H175" t="s">
        <v>24</v>
      </c>
      <c r="I175">
        <v>0</v>
      </c>
      <c r="J175">
        <v>0</v>
      </c>
      <c r="K175">
        <v>0</v>
      </c>
      <c r="L175">
        <v>0</v>
      </c>
      <c r="M175">
        <v>5365.69</v>
      </c>
      <c r="N175">
        <v>867</v>
      </c>
      <c r="O175">
        <v>56</v>
      </c>
      <c r="P175" t="s">
        <v>25</v>
      </c>
      <c r="Q175">
        <v>1041328</v>
      </c>
      <c r="R175" t="s">
        <v>49</v>
      </c>
      <c r="S175" t="s">
        <v>27</v>
      </c>
      <c r="T175" t="s">
        <v>28</v>
      </c>
    </row>
    <row r="176" spans="1:20" x14ac:dyDescent="0.3">
      <c r="A176" t="s">
        <v>359</v>
      </c>
      <c r="B176" s="1">
        <v>45944</v>
      </c>
      <c r="C176" s="1" t="s">
        <v>1330</v>
      </c>
      <c r="D176" t="s">
        <v>360</v>
      </c>
      <c r="E176" t="s">
        <v>37</v>
      </c>
      <c r="F176" t="s">
        <v>44</v>
      </c>
      <c r="G176" t="s">
        <v>39</v>
      </c>
      <c r="H176" t="s">
        <v>52</v>
      </c>
      <c r="I176">
        <v>0</v>
      </c>
      <c r="J176">
        <v>0</v>
      </c>
      <c r="K176">
        <v>0</v>
      </c>
      <c r="L176">
        <v>28262</v>
      </c>
      <c r="M176">
        <v>0</v>
      </c>
      <c r="N176">
        <v>732</v>
      </c>
      <c r="O176">
        <v>28</v>
      </c>
      <c r="P176" t="s">
        <v>32</v>
      </c>
      <c r="Q176">
        <v>1384954</v>
      </c>
      <c r="R176" t="s">
        <v>26</v>
      </c>
      <c r="S176" t="s">
        <v>71</v>
      </c>
      <c r="T176" t="s">
        <v>41</v>
      </c>
    </row>
    <row r="177" spans="1:20" x14ac:dyDescent="0.3">
      <c r="A177" t="s">
        <v>361</v>
      </c>
      <c r="B177" s="1">
        <v>45963</v>
      </c>
      <c r="C177" s="1" t="s">
        <v>1331</v>
      </c>
      <c r="D177" t="s">
        <v>362</v>
      </c>
      <c r="E177" t="s">
        <v>37</v>
      </c>
      <c r="F177" t="s">
        <v>21</v>
      </c>
      <c r="G177" t="s">
        <v>68</v>
      </c>
      <c r="H177" t="s">
        <v>52</v>
      </c>
      <c r="I177">
        <v>0</v>
      </c>
      <c r="J177">
        <v>0</v>
      </c>
      <c r="K177">
        <v>0</v>
      </c>
      <c r="L177">
        <v>32959</v>
      </c>
      <c r="M177">
        <v>0</v>
      </c>
      <c r="N177">
        <v>813</v>
      </c>
      <c r="O177">
        <v>43</v>
      </c>
      <c r="P177" t="s">
        <v>32</v>
      </c>
      <c r="Q177">
        <v>2862240</v>
      </c>
      <c r="R177" t="s">
        <v>49</v>
      </c>
      <c r="S177" t="s">
        <v>71</v>
      </c>
      <c r="T177" t="s">
        <v>28</v>
      </c>
    </row>
    <row r="178" spans="1:20" x14ac:dyDescent="0.3">
      <c r="A178" t="s">
        <v>363</v>
      </c>
      <c r="B178" s="1">
        <v>45825</v>
      </c>
      <c r="C178" s="1" t="s">
        <v>1326</v>
      </c>
      <c r="D178" t="s">
        <v>364</v>
      </c>
      <c r="E178" t="s">
        <v>37</v>
      </c>
      <c r="F178" t="s">
        <v>38</v>
      </c>
      <c r="G178" t="s">
        <v>23</v>
      </c>
      <c r="H178" t="s">
        <v>56</v>
      </c>
      <c r="I178">
        <v>114110</v>
      </c>
      <c r="J178">
        <v>0</v>
      </c>
      <c r="K178">
        <v>0</v>
      </c>
      <c r="L178">
        <v>0</v>
      </c>
      <c r="M178">
        <v>0</v>
      </c>
      <c r="N178">
        <v>692</v>
      </c>
      <c r="O178">
        <v>58</v>
      </c>
      <c r="P178" t="s">
        <v>32</v>
      </c>
      <c r="Q178">
        <v>2256617</v>
      </c>
      <c r="R178" t="s">
        <v>49</v>
      </c>
      <c r="S178" t="s">
        <v>27</v>
      </c>
      <c r="T178" t="s">
        <v>28</v>
      </c>
    </row>
    <row r="179" spans="1:20" x14ac:dyDescent="0.3">
      <c r="A179" t="s">
        <v>365</v>
      </c>
      <c r="B179" s="1">
        <v>45786</v>
      </c>
      <c r="C179" s="1" t="s">
        <v>1325</v>
      </c>
      <c r="D179" t="s">
        <v>76</v>
      </c>
      <c r="E179" t="s">
        <v>55</v>
      </c>
      <c r="F179" t="s">
        <v>22</v>
      </c>
      <c r="G179" t="s">
        <v>23</v>
      </c>
      <c r="H179" t="s">
        <v>40</v>
      </c>
      <c r="I179">
        <v>0</v>
      </c>
      <c r="J179">
        <v>62269</v>
      </c>
      <c r="K179">
        <v>0</v>
      </c>
      <c r="L179">
        <v>0</v>
      </c>
      <c r="M179">
        <v>0</v>
      </c>
      <c r="N179">
        <v>405</v>
      </c>
      <c r="O179">
        <v>43</v>
      </c>
      <c r="P179" t="s">
        <v>32</v>
      </c>
      <c r="Q179">
        <v>981138</v>
      </c>
      <c r="R179" t="s">
        <v>26</v>
      </c>
      <c r="S179" t="s">
        <v>27</v>
      </c>
      <c r="T179" t="s">
        <v>60</v>
      </c>
    </row>
    <row r="180" spans="1:20" x14ac:dyDescent="0.3">
      <c r="A180" t="s">
        <v>366</v>
      </c>
      <c r="B180" s="1">
        <v>45828</v>
      </c>
      <c r="C180" s="1" t="s">
        <v>1326</v>
      </c>
      <c r="D180" t="s">
        <v>145</v>
      </c>
      <c r="E180" t="s">
        <v>63</v>
      </c>
      <c r="F180" t="s">
        <v>64</v>
      </c>
      <c r="G180" t="s">
        <v>59</v>
      </c>
      <c r="H180" t="s">
        <v>31</v>
      </c>
      <c r="I180">
        <v>0</v>
      </c>
      <c r="J180">
        <v>0</v>
      </c>
      <c r="K180">
        <v>1855509</v>
      </c>
      <c r="L180">
        <v>0</v>
      </c>
      <c r="M180">
        <v>0</v>
      </c>
      <c r="N180">
        <v>648</v>
      </c>
      <c r="O180">
        <v>26</v>
      </c>
      <c r="P180" t="s">
        <v>25</v>
      </c>
      <c r="Q180">
        <v>2350352</v>
      </c>
      <c r="R180" t="s">
        <v>49</v>
      </c>
      <c r="S180" t="s">
        <v>33</v>
      </c>
      <c r="T180" t="s">
        <v>28</v>
      </c>
    </row>
    <row r="181" spans="1:20" x14ac:dyDescent="0.3">
      <c r="A181" t="s">
        <v>367</v>
      </c>
      <c r="B181" s="1">
        <v>45699</v>
      </c>
      <c r="C181" s="1" t="s">
        <v>1322</v>
      </c>
      <c r="D181" t="s">
        <v>337</v>
      </c>
      <c r="E181" t="s">
        <v>63</v>
      </c>
      <c r="F181" t="s">
        <v>64</v>
      </c>
      <c r="G181" t="s">
        <v>68</v>
      </c>
      <c r="H181" t="s">
        <v>56</v>
      </c>
      <c r="I181">
        <v>16181</v>
      </c>
      <c r="J181">
        <v>0</v>
      </c>
      <c r="K181">
        <v>0</v>
      </c>
      <c r="L181">
        <v>0</v>
      </c>
      <c r="M181">
        <v>0</v>
      </c>
      <c r="N181">
        <v>692</v>
      </c>
      <c r="O181">
        <v>56</v>
      </c>
      <c r="P181" t="s">
        <v>32</v>
      </c>
      <c r="Q181">
        <v>1754173</v>
      </c>
      <c r="R181" t="s">
        <v>49</v>
      </c>
      <c r="S181" t="s">
        <v>27</v>
      </c>
      <c r="T181" t="s">
        <v>45</v>
      </c>
    </row>
    <row r="182" spans="1:20" x14ac:dyDescent="0.3">
      <c r="A182" t="s">
        <v>368</v>
      </c>
      <c r="B182" s="1">
        <v>45883</v>
      </c>
      <c r="C182" s="1" t="s">
        <v>1328</v>
      </c>
      <c r="D182" t="s">
        <v>62</v>
      </c>
      <c r="E182" t="s">
        <v>21</v>
      </c>
      <c r="F182" t="s">
        <v>38</v>
      </c>
      <c r="G182" t="s">
        <v>39</v>
      </c>
      <c r="H182" t="s">
        <v>24</v>
      </c>
      <c r="I182">
        <v>0</v>
      </c>
      <c r="J182">
        <v>0</v>
      </c>
      <c r="K182">
        <v>0</v>
      </c>
      <c r="L182">
        <v>0</v>
      </c>
      <c r="M182">
        <v>8615.27</v>
      </c>
      <c r="N182">
        <v>316</v>
      </c>
      <c r="O182">
        <v>36</v>
      </c>
      <c r="P182" t="s">
        <v>25</v>
      </c>
      <c r="Q182">
        <v>2814733</v>
      </c>
      <c r="R182" t="s">
        <v>26</v>
      </c>
      <c r="S182" t="s">
        <v>27</v>
      </c>
      <c r="T182" t="s">
        <v>45</v>
      </c>
    </row>
    <row r="183" spans="1:20" x14ac:dyDescent="0.3">
      <c r="A183" t="s">
        <v>369</v>
      </c>
      <c r="B183" s="1">
        <v>45811</v>
      </c>
      <c r="C183" s="1" t="s">
        <v>1326</v>
      </c>
      <c r="D183" t="s">
        <v>370</v>
      </c>
      <c r="E183" t="s">
        <v>55</v>
      </c>
      <c r="F183" t="s">
        <v>21</v>
      </c>
      <c r="G183" t="s">
        <v>23</v>
      </c>
      <c r="H183" t="s">
        <v>56</v>
      </c>
      <c r="I183">
        <v>113684</v>
      </c>
      <c r="J183">
        <v>0</v>
      </c>
      <c r="K183">
        <v>0</v>
      </c>
      <c r="L183">
        <v>0</v>
      </c>
      <c r="M183">
        <v>0</v>
      </c>
      <c r="N183">
        <v>645</v>
      </c>
      <c r="O183">
        <v>65</v>
      </c>
      <c r="P183" t="s">
        <v>25</v>
      </c>
      <c r="Q183">
        <v>1238399</v>
      </c>
      <c r="R183" t="s">
        <v>26</v>
      </c>
      <c r="S183" t="s">
        <v>27</v>
      </c>
      <c r="T183" t="s">
        <v>34</v>
      </c>
    </row>
    <row r="184" spans="1:20" x14ac:dyDescent="0.3">
      <c r="A184" t="s">
        <v>371</v>
      </c>
      <c r="B184" s="1">
        <v>45670</v>
      </c>
      <c r="C184" s="1" t="s">
        <v>1321</v>
      </c>
      <c r="D184" t="s">
        <v>82</v>
      </c>
      <c r="E184" t="s">
        <v>63</v>
      </c>
      <c r="F184" t="s">
        <v>22</v>
      </c>
      <c r="G184" t="s">
        <v>68</v>
      </c>
      <c r="H184" t="s">
        <v>24</v>
      </c>
      <c r="I184">
        <v>0</v>
      </c>
      <c r="J184">
        <v>0</v>
      </c>
      <c r="K184">
        <v>0</v>
      </c>
      <c r="L184">
        <v>0</v>
      </c>
      <c r="M184">
        <v>7095.05</v>
      </c>
      <c r="N184">
        <v>493</v>
      </c>
      <c r="O184">
        <v>19</v>
      </c>
      <c r="P184" t="s">
        <v>32</v>
      </c>
      <c r="Q184">
        <v>791222</v>
      </c>
      <c r="R184" t="s">
        <v>49</v>
      </c>
      <c r="S184" t="s">
        <v>27</v>
      </c>
      <c r="T184" t="s">
        <v>41</v>
      </c>
    </row>
    <row r="185" spans="1:20" x14ac:dyDescent="0.3">
      <c r="A185" t="s">
        <v>372</v>
      </c>
      <c r="B185" s="1">
        <v>45738</v>
      </c>
      <c r="C185" s="1" t="s">
        <v>1323</v>
      </c>
      <c r="D185" t="s">
        <v>93</v>
      </c>
      <c r="E185" t="s">
        <v>37</v>
      </c>
      <c r="F185" t="s">
        <v>44</v>
      </c>
      <c r="G185" t="s">
        <v>23</v>
      </c>
      <c r="H185" t="s">
        <v>56</v>
      </c>
      <c r="I185">
        <v>27121</v>
      </c>
      <c r="J185">
        <v>0</v>
      </c>
      <c r="K185">
        <v>0</v>
      </c>
      <c r="L185">
        <v>0</v>
      </c>
      <c r="M185">
        <v>0</v>
      </c>
      <c r="N185">
        <v>498</v>
      </c>
      <c r="O185">
        <v>34</v>
      </c>
      <c r="P185" t="s">
        <v>32</v>
      </c>
      <c r="Q185">
        <v>666249</v>
      </c>
      <c r="R185" t="s">
        <v>49</v>
      </c>
      <c r="S185" t="s">
        <v>27</v>
      </c>
      <c r="T185" t="s">
        <v>34</v>
      </c>
    </row>
    <row r="186" spans="1:20" x14ac:dyDescent="0.3">
      <c r="A186" t="s">
        <v>373</v>
      </c>
      <c r="B186" s="1">
        <v>45706</v>
      </c>
      <c r="C186" s="1" t="s">
        <v>1322</v>
      </c>
      <c r="D186" t="s">
        <v>374</v>
      </c>
      <c r="E186" t="s">
        <v>63</v>
      </c>
      <c r="F186" t="s">
        <v>44</v>
      </c>
      <c r="G186" t="s">
        <v>23</v>
      </c>
      <c r="H186" t="s">
        <v>52</v>
      </c>
      <c r="I186">
        <v>0</v>
      </c>
      <c r="J186">
        <v>0</v>
      </c>
      <c r="K186">
        <v>0</v>
      </c>
      <c r="L186">
        <v>43779</v>
      </c>
      <c r="M186">
        <v>0</v>
      </c>
      <c r="N186">
        <v>847</v>
      </c>
      <c r="O186">
        <v>67</v>
      </c>
      <c r="P186" t="s">
        <v>32</v>
      </c>
      <c r="Q186">
        <v>1592346</v>
      </c>
      <c r="R186" t="s">
        <v>26</v>
      </c>
      <c r="S186" t="s">
        <v>74</v>
      </c>
      <c r="T186" t="s">
        <v>28</v>
      </c>
    </row>
    <row r="187" spans="1:20" x14ac:dyDescent="0.3">
      <c r="A187" t="s">
        <v>375</v>
      </c>
      <c r="B187" s="1">
        <v>45792</v>
      </c>
      <c r="C187" s="1" t="s">
        <v>1325</v>
      </c>
      <c r="D187" t="s">
        <v>376</v>
      </c>
      <c r="E187" t="s">
        <v>37</v>
      </c>
      <c r="F187" t="s">
        <v>38</v>
      </c>
      <c r="G187" t="s">
        <v>39</v>
      </c>
      <c r="H187" t="s">
        <v>40</v>
      </c>
      <c r="I187">
        <v>0</v>
      </c>
      <c r="J187">
        <v>14048</v>
      </c>
      <c r="K187">
        <v>0</v>
      </c>
      <c r="L187">
        <v>0</v>
      </c>
      <c r="M187">
        <v>0</v>
      </c>
      <c r="N187">
        <v>869</v>
      </c>
      <c r="O187">
        <v>54</v>
      </c>
      <c r="P187" t="s">
        <v>25</v>
      </c>
      <c r="Q187">
        <v>1481594</v>
      </c>
      <c r="R187" t="s">
        <v>26</v>
      </c>
      <c r="S187" t="s">
        <v>27</v>
      </c>
      <c r="T187" t="s">
        <v>34</v>
      </c>
    </row>
    <row r="188" spans="1:20" x14ac:dyDescent="0.3">
      <c r="A188" t="s">
        <v>377</v>
      </c>
      <c r="B188" s="1">
        <v>45989</v>
      </c>
      <c r="C188" s="1" t="s">
        <v>1331</v>
      </c>
      <c r="D188" t="s">
        <v>378</v>
      </c>
      <c r="E188" t="s">
        <v>37</v>
      </c>
      <c r="F188" t="s">
        <v>38</v>
      </c>
      <c r="G188" t="s">
        <v>39</v>
      </c>
      <c r="H188" t="s">
        <v>31</v>
      </c>
      <c r="I188">
        <v>0</v>
      </c>
      <c r="J188">
        <v>0</v>
      </c>
      <c r="K188">
        <v>1106017</v>
      </c>
      <c r="L188">
        <v>0</v>
      </c>
      <c r="M188">
        <v>0</v>
      </c>
      <c r="N188">
        <v>737</v>
      </c>
      <c r="O188">
        <v>29</v>
      </c>
      <c r="P188" t="s">
        <v>25</v>
      </c>
      <c r="Q188">
        <v>1500801</v>
      </c>
      <c r="R188" t="s">
        <v>49</v>
      </c>
      <c r="S188" t="s">
        <v>65</v>
      </c>
      <c r="T188" t="s">
        <v>60</v>
      </c>
    </row>
    <row r="189" spans="1:20" x14ac:dyDescent="0.3">
      <c r="A189" t="s">
        <v>379</v>
      </c>
      <c r="B189" s="1">
        <v>45732</v>
      </c>
      <c r="C189" s="1" t="s">
        <v>1323</v>
      </c>
      <c r="D189" t="s">
        <v>380</v>
      </c>
      <c r="E189" t="s">
        <v>37</v>
      </c>
      <c r="F189" t="s">
        <v>22</v>
      </c>
      <c r="G189" t="s">
        <v>23</v>
      </c>
      <c r="H189" t="s">
        <v>56</v>
      </c>
      <c r="I189">
        <v>79886</v>
      </c>
      <c r="J189">
        <v>0</v>
      </c>
      <c r="K189">
        <v>0</v>
      </c>
      <c r="L189">
        <v>0</v>
      </c>
      <c r="M189">
        <v>0</v>
      </c>
      <c r="N189">
        <v>738</v>
      </c>
      <c r="O189">
        <v>24</v>
      </c>
      <c r="P189" t="s">
        <v>32</v>
      </c>
      <c r="Q189">
        <v>1323647</v>
      </c>
      <c r="R189" t="s">
        <v>26</v>
      </c>
      <c r="S189" t="s">
        <v>27</v>
      </c>
      <c r="T189" t="s">
        <v>60</v>
      </c>
    </row>
    <row r="190" spans="1:20" x14ac:dyDescent="0.3">
      <c r="A190" t="s">
        <v>381</v>
      </c>
      <c r="B190" s="1">
        <v>45677</v>
      </c>
      <c r="C190" s="1" t="s">
        <v>1321</v>
      </c>
      <c r="D190" t="s">
        <v>382</v>
      </c>
      <c r="E190" t="s">
        <v>63</v>
      </c>
      <c r="F190" t="s">
        <v>44</v>
      </c>
      <c r="G190" t="s">
        <v>59</v>
      </c>
      <c r="H190" t="s">
        <v>31</v>
      </c>
      <c r="I190">
        <v>0</v>
      </c>
      <c r="J190">
        <v>0</v>
      </c>
      <c r="K190">
        <v>74718</v>
      </c>
      <c r="L190">
        <v>0</v>
      </c>
      <c r="M190">
        <v>0</v>
      </c>
      <c r="N190">
        <v>693</v>
      </c>
      <c r="O190">
        <v>45</v>
      </c>
      <c r="P190" t="s">
        <v>25</v>
      </c>
      <c r="Q190">
        <v>547846</v>
      </c>
      <c r="R190" t="s">
        <v>49</v>
      </c>
      <c r="S190" t="s">
        <v>33</v>
      </c>
      <c r="T190" t="s">
        <v>45</v>
      </c>
    </row>
    <row r="191" spans="1:20" x14ac:dyDescent="0.3">
      <c r="A191" t="s">
        <v>383</v>
      </c>
      <c r="B191" s="1">
        <v>45983</v>
      </c>
      <c r="C191" s="1" t="s">
        <v>1331</v>
      </c>
      <c r="D191" t="s">
        <v>272</v>
      </c>
      <c r="E191" t="s">
        <v>37</v>
      </c>
      <c r="F191" t="s">
        <v>22</v>
      </c>
      <c r="G191" t="s">
        <v>39</v>
      </c>
      <c r="H191" t="s">
        <v>52</v>
      </c>
      <c r="I191">
        <v>0</v>
      </c>
      <c r="J191">
        <v>0</v>
      </c>
      <c r="K191">
        <v>0</v>
      </c>
      <c r="L191">
        <v>16451</v>
      </c>
      <c r="M191">
        <v>0</v>
      </c>
      <c r="N191">
        <v>641</v>
      </c>
      <c r="O191">
        <v>31</v>
      </c>
      <c r="P191" t="s">
        <v>32</v>
      </c>
      <c r="Q191">
        <v>746760</v>
      </c>
      <c r="R191" t="s">
        <v>49</v>
      </c>
      <c r="S191" t="s">
        <v>74</v>
      </c>
      <c r="T191" t="s">
        <v>34</v>
      </c>
    </row>
    <row r="192" spans="1:20" x14ac:dyDescent="0.3">
      <c r="A192" t="s">
        <v>384</v>
      </c>
      <c r="B192" s="1">
        <v>45748</v>
      </c>
      <c r="C192" s="1" t="s">
        <v>1324</v>
      </c>
      <c r="D192" t="s">
        <v>385</v>
      </c>
      <c r="E192" t="s">
        <v>63</v>
      </c>
      <c r="F192" t="s">
        <v>22</v>
      </c>
      <c r="G192" t="s">
        <v>68</v>
      </c>
      <c r="H192" t="s">
        <v>56</v>
      </c>
      <c r="I192">
        <v>1985</v>
      </c>
      <c r="J192">
        <v>0</v>
      </c>
      <c r="K192">
        <v>0</v>
      </c>
      <c r="L192">
        <v>0</v>
      </c>
      <c r="M192">
        <v>0</v>
      </c>
      <c r="N192">
        <v>471</v>
      </c>
      <c r="O192">
        <v>55</v>
      </c>
      <c r="P192" t="s">
        <v>25</v>
      </c>
      <c r="Q192">
        <v>239867</v>
      </c>
      <c r="R192" t="s">
        <v>26</v>
      </c>
      <c r="S192" t="s">
        <v>27</v>
      </c>
      <c r="T192" t="s">
        <v>45</v>
      </c>
    </row>
    <row r="193" spans="1:20" x14ac:dyDescent="0.3">
      <c r="A193" t="s">
        <v>386</v>
      </c>
      <c r="B193" s="1">
        <v>45892</v>
      </c>
      <c r="C193" s="1" t="s">
        <v>1328</v>
      </c>
      <c r="D193" t="s">
        <v>152</v>
      </c>
      <c r="E193" t="s">
        <v>55</v>
      </c>
      <c r="F193" t="s">
        <v>21</v>
      </c>
      <c r="G193" t="s">
        <v>39</v>
      </c>
      <c r="H193" t="s">
        <v>24</v>
      </c>
      <c r="I193">
        <v>0</v>
      </c>
      <c r="J193">
        <v>0</v>
      </c>
      <c r="K193">
        <v>0</v>
      </c>
      <c r="L193">
        <v>0</v>
      </c>
      <c r="M193">
        <v>7526.49</v>
      </c>
      <c r="N193">
        <v>809</v>
      </c>
      <c r="O193">
        <v>47</v>
      </c>
      <c r="P193" t="s">
        <v>32</v>
      </c>
      <c r="Q193">
        <v>1268550</v>
      </c>
      <c r="R193" t="s">
        <v>49</v>
      </c>
      <c r="S193" t="s">
        <v>27</v>
      </c>
      <c r="T193" t="s">
        <v>60</v>
      </c>
    </row>
    <row r="194" spans="1:20" x14ac:dyDescent="0.3">
      <c r="A194" t="s">
        <v>387</v>
      </c>
      <c r="B194" s="1">
        <v>45947</v>
      </c>
      <c r="C194" s="1" t="s">
        <v>1330</v>
      </c>
      <c r="D194" t="s">
        <v>388</v>
      </c>
      <c r="E194" t="s">
        <v>37</v>
      </c>
      <c r="F194" t="s">
        <v>64</v>
      </c>
      <c r="G194" t="s">
        <v>59</v>
      </c>
      <c r="H194" t="s">
        <v>52</v>
      </c>
      <c r="I194">
        <v>0</v>
      </c>
      <c r="J194">
        <v>0</v>
      </c>
      <c r="K194">
        <v>0</v>
      </c>
      <c r="L194">
        <v>19844</v>
      </c>
      <c r="M194">
        <v>0</v>
      </c>
      <c r="N194">
        <v>769</v>
      </c>
      <c r="O194">
        <v>28</v>
      </c>
      <c r="P194" t="s">
        <v>25</v>
      </c>
      <c r="Q194">
        <v>442953</v>
      </c>
      <c r="R194" t="s">
        <v>26</v>
      </c>
      <c r="S194" t="s">
        <v>33</v>
      </c>
      <c r="T194" t="s">
        <v>60</v>
      </c>
    </row>
    <row r="195" spans="1:20" x14ac:dyDescent="0.3">
      <c r="A195" t="s">
        <v>389</v>
      </c>
      <c r="B195" s="1">
        <v>45914</v>
      </c>
      <c r="C195" s="1" t="s">
        <v>1329</v>
      </c>
      <c r="D195" t="s">
        <v>374</v>
      </c>
      <c r="E195" t="s">
        <v>48</v>
      </c>
      <c r="F195" t="s">
        <v>21</v>
      </c>
      <c r="G195" t="s">
        <v>23</v>
      </c>
      <c r="H195" t="s">
        <v>40</v>
      </c>
      <c r="I195">
        <v>0</v>
      </c>
      <c r="J195">
        <v>54693</v>
      </c>
      <c r="K195">
        <v>0</v>
      </c>
      <c r="L195">
        <v>0</v>
      </c>
      <c r="M195">
        <v>0</v>
      </c>
      <c r="N195">
        <v>689</v>
      </c>
      <c r="O195">
        <v>40</v>
      </c>
      <c r="P195" t="s">
        <v>25</v>
      </c>
      <c r="Q195">
        <v>765868</v>
      </c>
      <c r="R195" t="s">
        <v>26</v>
      </c>
      <c r="S195" t="s">
        <v>27</v>
      </c>
      <c r="T195" t="s">
        <v>41</v>
      </c>
    </row>
    <row r="196" spans="1:20" x14ac:dyDescent="0.3">
      <c r="A196" t="s">
        <v>390</v>
      </c>
      <c r="B196" s="1">
        <v>45860</v>
      </c>
      <c r="C196" s="1" t="s">
        <v>1327</v>
      </c>
      <c r="D196" t="s">
        <v>136</v>
      </c>
      <c r="E196" t="s">
        <v>55</v>
      </c>
      <c r="F196" t="s">
        <v>22</v>
      </c>
      <c r="G196" t="s">
        <v>23</v>
      </c>
      <c r="H196" t="s">
        <v>24</v>
      </c>
      <c r="I196">
        <v>0</v>
      </c>
      <c r="J196">
        <v>0</v>
      </c>
      <c r="K196">
        <v>0</v>
      </c>
      <c r="L196">
        <v>0</v>
      </c>
      <c r="M196">
        <v>1343.54</v>
      </c>
      <c r="N196">
        <v>648</v>
      </c>
      <c r="O196">
        <v>20</v>
      </c>
      <c r="P196" t="s">
        <v>32</v>
      </c>
      <c r="Q196">
        <v>524630</v>
      </c>
      <c r="R196" t="s">
        <v>26</v>
      </c>
      <c r="S196" t="s">
        <v>27</v>
      </c>
      <c r="T196" t="s">
        <v>60</v>
      </c>
    </row>
    <row r="197" spans="1:20" x14ac:dyDescent="0.3">
      <c r="A197" t="s">
        <v>391</v>
      </c>
      <c r="B197" s="1">
        <v>46013</v>
      </c>
      <c r="C197" s="1" t="s">
        <v>1332</v>
      </c>
      <c r="D197" t="s">
        <v>392</v>
      </c>
      <c r="E197" t="s">
        <v>77</v>
      </c>
      <c r="F197" t="s">
        <v>22</v>
      </c>
      <c r="G197" t="s">
        <v>68</v>
      </c>
      <c r="H197" t="s">
        <v>52</v>
      </c>
      <c r="I197">
        <v>0</v>
      </c>
      <c r="J197">
        <v>0</v>
      </c>
      <c r="K197">
        <v>0</v>
      </c>
      <c r="L197">
        <v>2371</v>
      </c>
      <c r="M197">
        <v>0</v>
      </c>
      <c r="N197">
        <v>389</v>
      </c>
      <c r="O197">
        <v>65</v>
      </c>
      <c r="P197" t="s">
        <v>32</v>
      </c>
      <c r="Q197">
        <v>2303381</v>
      </c>
      <c r="R197" t="s">
        <v>49</v>
      </c>
      <c r="S197" t="s">
        <v>33</v>
      </c>
      <c r="T197" t="s">
        <v>45</v>
      </c>
    </row>
    <row r="198" spans="1:20" x14ac:dyDescent="0.3">
      <c r="A198" t="s">
        <v>393</v>
      </c>
      <c r="B198" s="1">
        <v>45962</v>
      </c>
      <c r="C198" s="1" t="s">
        <v>1331</v>
      </c>
      <c r="D198" t="s">
        <v>346</v>
      </c>
      <c r="E198" t="s">
        <v>37</v>
      </c>
      <c r="F198" t="s">
        <v>22</v>
      </c>
      <c r="G198" t="s">
        <v>39</v>
      </c>
      <c r="H198" t="s">
        <v>40</v>
      </c>
      <c r="I198">
        <v>0</v>
      </c>
      <c r="J198">
        <v>9468</v>
      </c>
      <c r="K198">
        <v>0</v>
      </c>
      <c r="L198">
        <v>0</v>
      </c>
      <c r="M198">
        <v>0</v>
      </c>
      <c r="N198">
        <v>841</v>
      </c>
      <c r="O198">
        <v>46</v>
      </c>
      <c r="P198" t="s">
        <v>25</v>
      </c>
      <c r="Q198">
        <v>691453</v>
      </c>
      <c r="R198" t="s">
        <v>49</v>
      </c>
      <c r="S198" t="s">
        <v>27</v>
      </c>
      <c r="T198" t="s">
        <v>60</v>
      </c>
    </row>
    <row r="199" spans="1:20" x14ac:dyDescent="0.3">
      <c r="A199" t="s">
        <v>394</v>
      </c>
      <c r="B199" s="1">
        <v>45677</v>
      </c>
      <c r="C199" s="1" t="s">
        <v>1321</v>
      </c>
      <c r="D199" t="s">
        <v>395</v>
      </c>
      <c r="E199" t="s">
        <v>37</v>
      </c>
      <c r="F199" t="s">
        <v>21</v>
      </c>
      <c r="G199" t="s">
        <v>39</v>
      </c>
      <c r="H199" t="s">
        <v>40</v>
      </c>
      <c r="I199">
        <v>0</v>
      </c>
      <c r="J199">
        <v>44490</v>
      </c>
      <c r="K199">
        <v>0</v>
      </c>
      <c r="L199">
        <v>0</v>
      </c>
      <c r="M199">
        <v>0</v>
      </c>
      <c r="N199">
        <v>709</v>
      </c>
      <c r="O199">
        <v>26</v>
      </c>
      <c r="P199" t="s">
        <v>32</v>
      </c>
      <c r="Q199">
        <v>2762821</v>
      </c>
      <c r="R199" t="s">
        <v>26</v>
      </c>
      <c r="S199" t="s">
        <v>27</v>
      </c>
      <c r="T199" t="s">
        <v>34</v>
      </c>
    </row>
    <row r="200" spans="1:20" x14ac:dyDescent="0.3">
      <c r="A200" t="s">
        <v>396</v>
      </c>
      <c r="B200" s="1">
        <v>45952</v>
      </c>
      <c r="C200" s="1" t="s">
        <v>1330</v>
      </c>
      <c r="D200" t="s">
        <v>167</v>
      </c>
      <c r="E200" t="s">
        <v>21</v>
      </c>
      <c r="F200" t="s">
        <v>44</v>
      </c>
      <c r="G200" t="s">
        <v>39</v>
      </c>
      <c r="H200" t="s">
        <v>24</v>
      </c>
      <c r="I200">
        <v>0</v>
      </c>
      <c r="J200">
        <v>0</v>
      </c>
      <c r="K200">
        <v>0</v>
      </c>
      <c r="L200">
        <v>0</v>
      </c>
      <c r="M200">
        <v>2040.24</v>
      </c>
      <c r="N200">
        <v>390</v>
      </c>
      <c r="O200">
        <v>18</v>
      </c>
      <c r="P200" t="s">
        <v>25</v>
      </c>
      <c r="Q200">
        <v>909782</v>
      </c>
      <c r="R200" t="s">
        <v>49</v>
      </c>
      <c r="S200" t="s">
        <v>27</v>
      </c>
      <c r="T200" t="s">
        <v>28</v>
      </c>
    </row>
    <row r="201" spans="1:20" x14ac:dyDescent="0.3">
      <c r="A201" t="s">
        <v>397</v>
      </c>
      <c r="B201" s="1">
        <v>45814</v>
      </c>
      <c r="C201" s="1" t="s">
        <v>1326</v>
      </c>
      <c r="D201" t="s">
        <v>54</v>
      </c>
      <c r="E201" t="s">
        <v>55</v>
      </c>
      <c r="F201" t="s">
        <v>38</v>
      </c>
      <c r="G201" t="s">
        <v>39</v>
      </c>
      <c r="H201" t="s">
        <v>31</v>
      </c>
      <c r="I201">
        <v>0</v>
      </c>
      <c r="J201">
        <v>0</v>
      </c>
      <c r="K201">
        <v>661694</v>
      </c>
      <c r="L201">
        <v>0</v>
      </c>
      <c r="M201">
        <v>0</v>
      </c>
      <c r="N201">
        <v>860</v>
      </c>
      <c r="O201">
        <v>53</v>
      </c>
      <c r="P201" t="s">
        <v>25</v>
      </c>
      <c r="Q201">
        <v>788169</v>
      </c>
      <c r="R201" t="s">
        <v>49</v>
      </c>
      <c r="S201" t="s">
        <v>65</v>
      </c>
      <c r="T201" t="s">
        <v>34</v>
      </c>
    </row>
    <row r="202" spans="1:20" x14ac:dyDescent="0.3">
      <c r="A202" t="s">
        <v>398</v>
      </c>
      <c r="B202" s="1">
        <v>46015</v>
      </c>
      <c r="C202" s="1" t="s">
        <v>1332</v>
      </c>
      <c r="D202" t="s">
        <v>293</v>
      </c>
      <c r="E202" t="s">
        <v>77</v>
      </c>
      <c r="F202" t="s">
        <v>44</v>
      </c>
      <c r="G202" t="s">
        <v>23</v>
      </c>
      <c r="H202" t="s">
        <v>31</v>
      </c>
      <c r="I202">
        <v>0</v>
      </c>
      <c r="J202">
        <v>0</v>
      </c>
      <c r="K202">
        <v>76879</v>
      </c>
      <c r="L202">
        <v>0</v>
      </c>
      <c r="M202">
        <v>0</v>
      </c>
      <c r="N202">
        <v>542</v>
      </c>
      <c r="O202">
        <v>27</v>
      </c>
      <c r="P202" t="s">
        <v>25</v>
      </c>
      <c r="Q202">
        <v>1863323</v>
      </c>
      <c r="R202" t="s">
        <v>49</v>
      </c>
      <c r="S202" t="s">
        <v>33</v>
      </c>
      <c r="T202" t="s">
        <v>60</v>
      </c>
    </row>
    <row r="203" spans="1:20" x14ac:dyDescent="0.3">
      <c r="A203" t="s">
        <v>399</v>
      </c>
      <c r="B203" s="1">
        <v>45886</v>
      </c>
      <c r="C203" s="1" t="s">
        <v>1328</v>
      </c>
      <c r="D203" t="s">
        <v>91</v>
      </c>
      <c r="E203" t="s">
        <v>55</v>
      </c>
      <c r="F203" t="s">
        <v>64</v>
      </c>
      <c r="G203" t="s">
        <v>68</v>
      </c>
      <c r="H203" t="s">
        <v>52</v>
      </c>
      <c r="I203">
        <v>0</v>
      </c>
      <c r="J203">
        <v>0</v>
      </c>
      <c r="K203">
        <v>0</v>
      </c>
      <c r="L203">
        <v>29924</v>
      </c>
      <c r="M203">
        <v>0</v>
      </c>
      <c r="N203">
        <v>473</v>
      </c>
      <c r="O203">
        <v>68</v>
      </c>
      <c r="P203" t="s">
        <v>32</v>
      </c>
      <c r="Q203">
        <v>2702999</v>
      </c>
      <c r="R203" t="s">
        <v>26</v>
      </c>
      <c r="S203" t="s">
        <v>74</v>
      </c>
      <c r="T203" t="s">
        <v>28</v>
      </c>
    </row>
    <row r="204" spans="1:20" x14ac:dyDescent="0.3">
      <c r="A204" t="s">
        <v>400</v>
      </c>
      <c r="B204" s="1">
        <v>45706</v>
      </c>
      <c r="C204" s="1" t="s">
        <v>1322</v>
      </c>
      <c r="D204" t="s">
        <v>213</v>
      </c>
      <c r="E204" t="s">
        <v>48</v>
      </c>
      <c r="F204" t="s">
        <v>21</v>
      </c>
      <c r="G204" t="s">
        <v>39</v>
      </c>
      <c r="H204" t="s">
        <v>24</v>
      </c>
      <c r="I204">
        <v>0</v>
      </c>
      <c r="J204">
        <v>0</v>
      </c>
      <c r="K204">
        <v>0</v>
      </c>
      <c r="L204">
        <v>0</v>
      </c>
      <c r="M204">
        <v>6658.09</v>
      </c>
      <c r="N204">
        <v>726</v>
      </c>
      <c r="O204">
        <v>32</v>
      </c>
      <c r="P204" t="s">
        <v>32</v>
      </c>
      <c r="Q204">
        <v>1516187</v>
      </c>
      <c r="R204" t="s">
        <v>49</v>
      </c>
      <c r="S204" t="s">
        <v>27</v>
      </c>
      <c r="T204" t="s">
        <v>34</v>
      </c>
    </row>
    <row r="205" spans="1:20" x14ac:dyDescent="0.3">
      <c r="A205" t="s">
        <v>401</v>
      </c>
      <c r="B205" s="1">
        <v>45849</v>
      </c>
      <c r="C205" s="1" t="s">
        <v>1327</v>
      </c>
      <c r="D205" t="s">
        <v>177</v>
      </c>
      <c r="E205" t="s">
        <v>37</v>
      </c>
      <c r="F205" t="s">
        <v>21</v>
      </c>
      <c r="G205" t="s">
        <v>59</v>
      </c>
      <c r="H205" t="s">
        <v>24</v>
      </c>
      <c r="I205">
        <v>0</v>
      </c>
      <c r="J205">
        <v>0</v>
      </c>
      <c r="K205">
        <v>0</v>
      </c>
      <c r="L205">
        <v>0</v>
      </c>
      <c r="M205">
        <v>5705.3</v>
      </c>
      <c r="N205">
        <v>571</v>
      </c>
      <c r="O205">
        <v>22</v>
      </c>
      <c r="P205" t="s">
        <v>25</v>
      </c>
      <c r="Q205">
        <v>2062942</v>
      </c>
      <c r="R205" t="s">
        <v>49</v>
      </c>
      <c r="S205" t="s">
        <v>27</v>
      </c>
      <c r="T205" t="s">
        <v>28</v>
      </c>
    </row>
    <row r="206" spans="1:20" x14ac:dyDescent="0.3">
      <c r="A206" t="s">
        <v>402</v>
      </c>
      <c r="B206" s="1">
        <v>45764</v>
      </c>
      <c r="C206" s="1" t="s">
        <v>1324</v>
      </c>
      <c r="D206" t="s">
        <v>403</v>
      </c>
      <c r="E206" t="s">
        <v>55</v>
      </c>
      <c r="F206" t="s">
        <v>64</v>
      </c>
      <c r="G206" t="s">
        <v>23</v>
      </c>
      <c r="H206" t="s">
        <v>40</v>
      </c>
      <c r="I206">
        <v>0</v>
      </c>
      <c r="J206">
        <v>46723</v>
      </c>
      <c r="K206">
        <v>0</v>
      </c>
      <c r="L206">
        <v>0</v>
      </c>
      <c r="M206">
        <v>0</v>
      </c>
      <c r="N206">
        <v>374</v>
      </c>
      <c r="O206">
        <v>52</v>
      </c>
      <c r="P206" t="s">
        <v>32</v>
      </c>
      <c r="Q206">
        <v>868089</v>
      </c>
      <c r="R206" t="s">
        <v>26</v>
      </c>
      <c r="S206" t="s">
        <v>27</v>
      </c>
      <c r="T206" t="s">
        <v>45</v>
      </c>
    </row>
    <row r="207" spans="1:20" x14ac:dyDescent="0.3">
      <c r="A207" t="s">
        <v>404</v>
      </c>
      <c r="B207" s="1">
        <v>45810</v>
      </c>
      <c r="C207" s="1" t="s">
        <v>1326</v>
      </c>
      <c r="D207" t="s">
        <v>247</v>
      </c>
      <c r="E207" t="s">
        <v>63</v>
      </c>
      <c r="F207" t="s">
        <v>22</v>
      </c>
      <c r="G207" t="s">
        <v>59</v>
      </c>
      <c r="H207" t="s">
        <v>31</v>
      </c>
      <c r="I207">
        <v>0</v>
      </c>
      <c r="J207">
        <v>0</v>
      </c>
      <c r="K207">
        <v>1661684</v>
      </c>
      <c r="L207">
        <v>0</v>
      </c>
      <c r="M207">
        <v>0</v>
      </c>
      <c r="N207">
        <v>756</v>
      </c>
      <c r="O207">
        <v>60</v>
      </c>
      <c r="P207" t="s">
        <v>25</v>
      </c>
      <c r="Q207">
        <v>1370593</v>
      </c>
      <c r="R207" t="s">
        <v>49</v>
      </c>
      <c r="S207" t="s">
        <v>65</v>
      </c>
      <c r="T207" t="s">
        <v>45</v>
      </c>
    </row>
    <row r="208" spans="1:20" x14ac:dyDescent="0.3">
      <c r="A208" t="s">
        <v>405</v>
      </c>
      <c r="B208" s="1">
        <v>45703</v>
      </c>
      <c r="C208" s="1" t="s">
        <v>1322</v>
      </c>
      <c r="D208" t="s">
        <v>406</v>
      </c>
      <c r="E208" t="s">
        <v>37</v>
      </c>
      <c r="F208" t="s">
        <v>38</v>
      </c>
      <c r="G208" t="s">
        <v>68</v>
      </c>
      <c r="H208" t="s">
        <v>52</v>
      </c>
      <c r="I208">
        <v>0</v>
      </c>
      <c r="J208">
        <v>0</v>
      </c>
      <c r="K208">
        <v>0</v>
      </c>
      <c r="L208">
        <v>49715</v>
      </c>
      <c r="M208">
        <v>0</v>
      </c>
      <c r="N208">
        <v>829</v>
      </c>
      <c r="O208">
        <v>36</v>
      </c>
      <c r="P208" t="s">
        <v>25</v>
      </c>
      <c r="Q208">
        <v>2666218</v>
      </c>
      <c r="R208" t="s">
        <v>49</v>
      </c>
      <c r="S208" t="s">
        <v>71</v>
      </c>
      <c r="T208" t="s">
        <v>45</v>
      </c>
    </row>
    <row r="209" spans="1:20" x14ac:dyDescent="0.3">
      <c r="A209" t="s">
        <v>407</v>
      </c>
      <c r="B209" s="1">
        <v>45977</v>
      </c>
      <c r="C209" s="1" t="s">
        <v>1331</v>
      </c>
      <c r="D209" t="s">
        <v>305</v>
      </c>
      <c r="E209" t="s">
        <v>48</v>
      </c>
      <c r="F209" t="s">
        <v>38</v>
      </c>
      <c r="G209" t="s">
        <v>68</v>
      </c>
      <c r="H209" t="s">
        <v>31</v>
      </c>
      <c r="I209">
        <v>0</v>
      </c>
      <c r="J209">
        <v>0</v>
      </c>
      <c r="K209">
        <v>423843</v>
      </c>
      <c r="L209">
        <v>0</v>
      </c>
      <c r="M209">
        <v>0</v>
      </c>
      <c r="N209">
        <v>369</v>
      </c>
      <c r="O209">
        <v>36</v>
      </c>
      <c r="P209" t="s">
        <v>25</v>
      </c>
      <c r="Q209">
        <v>1762061</v>
      </c>
      <c r="R209" t="s">
        <v>26</v>
      </c>
      <c r="S209" t="s">
        <v>33</v>
      </c>
      <c r="T209" t="s">
        <v>60</v>
      </c>
    </row>
    <row r="210" spans="1:20" x14ac:dyDescent="0.3">
      <c r="A210" t="s">
        <v>408</v>
      </c>
      <c r="B210" s="1">
        <v>46007</v>
      </c>
      <c r="C210" s="1" t="s">
        <v>1332</v>
      </c>
      <c r="D210" t="s">
        <v>409</v>
      </c>
      <c r="E210" t="s">
        <v>63</v>
      </c>
      <c r="F210" t="s">
        <v>44</v>
      </c>
      <c r="G210" t="s">
        <v>59</v>
      </c>
      <c r="H210" t="s">
        <v>56</v>
      </c>
      <c r="I210">
        <v>141217</v>
      </c>
      <c r="J210">
        <v>0</v>
      </c>
      <c r="K210">
        <v>0</v>
      </c>
      <c r="L210">
        <v>0</v>
      </c>
      <c r="M210">
        <v>0</v>
      </c>
      <c r="N210">
        <v>509</v>
      </c>
      <c r="O210">
        <v>63</v>
      </c>
      <c r="P210" t="s">
        <v>32</v>
      </c>
      <c r="Q210">
        <v>951249</v>
      </c>
      <c r="R210" t="s">
        <v>49</v>
      </c>
      <c r="S210" t="s">
        <v>27</v>
      </c>
      <c r="T210" t="s">
        <v>41</v>
      </c>
    </row>
    <row r="211" spans="1:20" x14ac:dyDescent="0.3">
      <c r="A211" t="s">
        <v>410</v>
      </c>
      <c r="B211" s="1">
        <v>45689</v>
      </c>
      <c r="C211" s="1" t="s">
        <v>1322</v>
      </c>
      <c r="D211" t="s">
        <v>134</v>
      </c>
      <c r="E211" t="s">
        <v>48</v>
      </c>
      <c r="F211" t="s">
        <v>22</v>
      </c>
      <c r="G211" t="s">
        <v>23</v>
      </c>
      <c r="H211" t="s">
        <v>56</v>
      </c>
      <c r="I211">
        <v>103894</v>
      </c>
      <c r="J211">
        <v>0</v>
      </c>
      <c r="K211">
        <v>0</v>
      </c>
      <c r="L211">
        <v>0</v>
      </c>
      <c r="M211">
        <v>0</v>
      </c>
      <c r="N211">
        <v>372</v>
      </c>
      <c r="O211">
        <v>36</v>
      </c>
      <c r="P211" t="s">
        <v>32</v>
      </c>
      <c r="Q211">
        <v>2520156</v>
      </c>
      <c r="R211" t="s">
        <v>49</v>
      </c>
      <c r="S211" t="s">
        <v>27</v>
      </c>
      <c r="T211" t="s">
        <v>41</v>
      </c>
    </row>
    <row r="212" spans="1:20" x14ac:dyDescent="0.3">
      <c r="A212" t="s">
        <v>411</v>
      </c>
      <c r="B212" s="1">
        <v>45666</v>
      </c>
      <c r="C212" s="1" t="s">
        <v>1321</v>
      </c>
      <c r="D212" t="s">
        <v>163</v>
      </c>
      <c r="E212" t="s">
        <v>21</v>
      </c>
      <c r="F212" t="s">
        <v>38</v>
      </c>
      <c r="G212" t="s">
        <v>39</v>
      </c>
      <c r="H212" t="s">
        <v>40</v>
      </c>
      <c r="I212">
        <v>0</v>
      </c>
      <c r="J212">
        <v>70213</v>
      </c>
      <c r="K212">
        <v>0</v>
      </c>
      <c r="L212">
        <v>0</v>
      </c>
      <c r="M212">
        <v>0</v>
      </c>
      <c r="N212">
        <v>838</v>
      </c>
      <c r="O212">
        <v>32</v>
      </c>
      <c r="P212" t="s">
        <v>25</v>
      </c>
      <c r="Q212">
        <v>569224</v>
      </c>
      <c r="R212" t="s">
        <v>49</v>
      </c>
      <c r="S212" t="s">
        <v>27</v>
      </c>
      <c r="T212" t="s">
        <v>45</v>
      </c>
    </row>
    <row r="213" spans="1:20" x14ac:dyDescent="0.3">
      <c r="A213" t="s">
        <v>412</v>
      </c>
      <c r="B213" s="1">
        <v>45892</v>
      </c>
      <c r="C213" s="1" t="s">
        <v>1328</v>
      </c>
      <c r="D213" t="s">
        <v>67</v>
      </c>
      <c r="E213" t="s">
        <v>55</v>
      </c>
      <c r="F213" t="s">
        <v>64</v>
      </c>
      <c r="G213" t="s">
        <v>39</v>
      </c>
      <c r="H213" t="s">
        <v>40</v>
      </c>
      <c r="I213">
        <v>0</v>
      </c>
      <c r="J213">
        <v>44068</v>
      </c>
      <c r="K213">
        <v>0</v>
      </c>
      <c r="L213">
        <v>0</v>
      </c>
      <c r="M213">
        <v>0</v>
      </c>
      <c r="N213">
        <v>659</v>
      </c>
      <c r="O213">
        <v>53</v>
      </c>
      <c r="P213" t="s">
        <v>25</v>
      </c>
      <c r="Q213">
        <v>2895178</v>
      </c>
      <c r="R213" t="s">
        <v>26</v>
      </c>
      <c r="S213" t="s">
        <v>27</v>
      </c>
      <c r="T213" t="s">
        <v>34</v>
      </c>
    </row>
    <row r="214" spans="1:20" x14ac:dyDescent="0.3">
      <c r="A214" t="s">
        <v>413</v>
      </c>
      <c r="B214" s="1">
        <v>45990</v>
      </c>
      <c r="C214" s="1" t="s">
        <v>1331</v>
      </c>
      <c r="D214" t="s">
        <v>414</v>
      </c>
      <c r="E214" t="s">
        <v>37</v>
      </c>
      <c r="F214" t="s">
        <v>22</v>
      </c>
      <c r="G214" t="s">
        <v>68</v>
      </c>
      <c r="H214" t="s">
        <v>56</v>
      </c>
      <c r="I214">
        <v>10793</v>
      </c>
      <c r="J214">
        <v>0</v>
      </c>
      <c r="K214">
        <v>0</v>
      </c>
      <c r="L214">
        <v>0</v>
      </c>
      <c r="M214">
        <v>0</v>
      </c>
      <c r="N214">
        <v>449</v>
      </c>
      <c r="O214">
        <v>60</v>
      </c>
      <c r="P214" t="s">
        <v>32</v>
      </c>
      <c r="Q214">
        <v>2689184</v>
      </c>
      <c r="R214" t="s">
        <v>49</v>
      </c>
      <c r="S214" t="s">
        <v>27</v>
      </c>
      <c r="T214" t="s">
        <v>41</v>
      </c>
    </row>
    <row r="215" spans="1:20" x14ac:dyDescent="0.3">
      <c r="A215" t="s">
        <v>415</v>
      </c>
      <c r="B215" s="1">
        <v>45810</v>
      </c>
      <c r="C215" s="1" t="s">
        <v>1326</v>
      </c>
      <c r="D215" t="s">
        <v>416</v>
      </c>
      <c r="E215" t="s">
        <v>63</v>
      </c>
      <c r="F215" t="s">
        <v>21</v>
      </c>
      <c r="G215" t="s">
        <v>59</v>
      </c>
      <c r="H215" t="s">
        <v>52</v>
      </c>
      <c r="I215">
        <v>0</v>
      </c>
      <c r="J215">
        <v>0</v>
      </c>
      <c r="K215">
        <v>0</v>
      </c>
      <c r="L215">
        <v>41743</v>
      </c>
      <c r="M215">
        <v>0</v>
      </c>
      <c r="N215">
        <v>840</v>
      </c>
      <c r="O215">
        <v>18</v>
      </c>
      <c r="P215" t="s">
        <v>32</v>
      </c>
      <c r="Q215">
        <v>1922730</v>
      </c>
      <c r="R215" t="s">
        <v>26</v>
      </c>
      <c r="S215" t="s">
        <v>74</v>
      </c>
      <c r="T215" t="s">
        <v>34</v>
      </c>
    </row>
    <row r="216" spans="1:20" x14ac:dyDescent="0.3">
      <c r="A216" t="s">
        <v>417</v>
      </c>
      <c r="B216" s="1">
        <v>45690</v>
      </c>
      <c r="C216" s="1" t="s">
        <v>1322</v>
      </c>
      <c r="D216" t="s">
        <v>315</v>
      </c>
      <c r="E216" t="s">
        <v>37</v>
      </c>
      <c r="F216" t="s">
        <v>22</v>
      </c>
      <c r="G216" t="s">
        <v>68</v>
      </c>
      <c r="H216" t="s">
        <v>52</v>
      </c>
      <c r="I216">
        <v>0</v>
      </c>
      <c r="J216">
        <v>0</v>
      </c>
      <c r="K216">
        <v>0</v>
      </c>
      <c r="L216">
        <v>34404</v>
      </c>
      <c r="M216">
        <v>0</v>
      </c>
      <c r="N216">
        <v>764</v>
      </c>
      <c r="O216">
        <v>43</v>
      </c>
      <c r="P216" t="s">
        <v>25</v>
      </c>
      <c r="Q216">
        <v>1124224</v>
      </c>
      <c r="R216" t="s">
        <v>49</v>
      </c>
      <c r="S216" t="s">
        <v>71</v>
      </c>
      <c r="T216" t="s">
        <v>34</v>
      </c>
    </row>
    <row r="217" spans="1:20" x14ac:dyDescent="0.3">
      <c r="A217" t="s">
        <v>418</v>
      </c>
      <c r="B217" s="1">
        <v>45669</v>
      </c>
      <c r="C217" s="1" t="s">
        <v>1321</v>
      </c>
      <c r="D217" t="s">
        <v>187</v>
      </c>
      <c r="E217" t="s">
        <v>63</v>
      </c>
      <c r="F217" t="s">
        <v>38</v>
      </c>
      <c r="G217" t="s">
        <v>39</v>
      </c>
      <c r="H217" t="s">
        <v>40</v>
      </c>
      <c r="I217">
        <v>0</v>
      </c>
      <c r="J217">
        <v>14364</v>
      </c>
      <c r="K217">
        <v>0</v>
      </c>
      <c r="L217">
        <v>0</v>
      </c>
      <c r="M217">
        <v>0</v>
      </c>
      <c r="N217">
        <v>714</v>
      </c>
      <c r="O217">
        <v>44</v>
      </c>
      <c r="P217" t="s">
        <v>32</v>
      </c>
      <c r="Q217">
        <v>2158444</v>
      </c>
      <c r="R217" t="s">
        <v>49</v>
      </c>
      <c r="S217" t="s">
        <v>27</v>
      </c>
      <c r="T217" t="s">
        <v>41</v>
      </c>
    </row>
    <row r="218" spans="1:20" x14ac:dyDescent="0.3">
      <c r="A218" t="s">
        <v>419</v>
      </c>
      <c r="B218" s="1">
        <v>45858</v>
      </c>
      <c r="C218" s="1" t="s">
        <v>1327</v>
      </c>
      <c r="D218" t="s">
        <v>420</v>
      </c>
      <c r="E218" t="s">
        <v>55</v>
      </c>
      <c r="F218" t="s">
        <v>44</v>
      </c>
      <c r="G218" t="s">
        <v>59</v>
      </c>
      <c r="H218" t="s">
        <v>52</v>
      </c>
      <c r="I218">
        <v>0</v>
      </c>
      <c r="J218">
        <v>0</v>
      </c>
      <c r="K218">
        <v>0</v>
      </c>
      <c r="L218">
        <v>38464</v>
      </c>
      <c r="M218">
        <v>0</v>
      </c>
      <c r="N218">
        <v>313</v>
      </c>
      <c r="O218">
        <v>36</v>
      </c>
      <c r="P218" t="s">
        <v>25</v>
      </c>
      <c r="Q218">
        <v>1329412</v>
      </c>
      <c r="R218" t="s">
        <v>26</v>
      </c>
      <c r="S218" t="s">
        <v>74</v>
      </c>
      <c r="T218" t="s">
        <v>41</v>
      </c>
    </row>
    <row r="219" spans="1:20" x14ac:dyDescent="0.3">
      <c r="A219" t="s">
        <v>421</v>
      </c>
      <c r="B219" s="1">
        <v>45993</v>
      </c>
      <c r="C219" s="1" t="s">
        <v>1332</v>
      </c>
      <c r="D219" t="s">
        <v>422</v>
      </c>
      <c r="E219" t="s">
        <v>48</v>
      </c>
      <c r="F219" t="s">
        <v>22</v>
      </c>
      <c r="G219" t="s">
        <v>39</v>
      </c>
      <c r="H219" t="s">
        <v>56</v>
      </c>
      <c r="I219">
        <v>154715</v>
      </c>
      <c r="J219">
        <v>0</v>
      </c>
      <c r="K219">
        <v>0</v>
      </c>
      <c r="L219">
        <v>0</v>
      </c>
      <c r="M219">
        <v>0</v>
      </c>
      <c r="N219">
        <v>437</v>
      </c>
      <c r="O219">
        <v>23</v>
      </c>
      <c r="P219" t="s">
        <v>25</v>
      </c>
      <c r="Q219">
        <f>MEDIAN(201200,3000000)</f>
        <v>1600600</v>
      </c>
      <c r="R219" t="s">
        <v>49</v>
      </c>
      <c r="S219" t="s">
        <v>27</v>
      </c>
      <c r="T219" t="s">
        <v>60</v>
      </c>
    </row>
    <row r="220" spans="1:20" x14ac:dyDescent="0.3">
      <c r="A220" t="s">
        <v>423</v>
      </c>
      <c r="B220" s="1">
        <v>45773</v>
      </c>
      <c r="C220" s="1" t="s">
        <v>1324</v>
      </c>
      <c r="D220" t="s">
        <v>76</v>
      </c>
      <c r="E220" t="s">
        <v>48</v>
      </c>
      <c r="F220" t="s">
        <v>22</v>
      </c>
      <c r="G220" t="s">
        <v>39</v>
      </c>
      <c r="H220" t="s">
        <v>40</v>
      </c>
      <c r="I220">
        <v>0</v>
      </c>
      <c r="J220">
        <v>94682</v>
      </c>
      <c r="K220">
        <v>0</v>
      </c>
      <c r="L220">
        <v>0</v>
      </c>
      <c r="M220">
        <v>0</v>
      </c>
      <c r="N220">
        <v>777</v>
      </c>
      <c r="O220">
        <v>51</v>
      </c>
      <c r="P220" t="s">
        <v>25</v>
      </c>
      <c r="Q220">
        <v>2685514</v>
      </c>
      <c r="R220" t="s">
        <v>26</v>
      </c>
      <c r="S220" t="s">
        <v>27</v>
      </c>
      <c r="T220" t="s">
        <v>45</v>
      </c>
    </row>
    <row r="221" spans="1:20" x14ac:dyDescent="0.3">
      <c r="A221" t="s">
        <v>424</v>
      </c>
      <c r="B221" s="1">
        <v>45971</v>
      </c>
      <c r="C221" s="1" t="s">
        <v>1331</v>
      </c>
      <c r="D221" t="s">
        <v>339</v>
      </c>
      <c r="E221" t="s">
        <v>55</v>
      </c>
      <c r="F221" t="s">
        <v>64</v>
      </c>
      <c r="G221" t="s">
        <v>39</v>
      </c>
      <c r="H221" t="s">
        <v>40</v>
      </c>
      <c r="I221">
        <v>0</v>
      </c>
      <c r="J221">
        <v>41844</v>
      </c>
      <c r="K221">
        <v>0</v>
      </c>
      <c r="L221">
        <v>0</v>
      </c>
      <c r="M221">
        <v>0</v>
      </c>
      <c r="N221">
        <v>358</v>
      </c>
      <c r="O221">
        <v>19</v>
      </c>
      <c r="P221" t="s">
        <v>32</v>
      </c>
      <c r="Q221">
        <v>2981684</v>
      </c>
      <c r="R221" t="s">
        <v>26</v>
      </c>
      <c r="S221" t="s">
        <v>27</v>
      </c>
      <c r="T221" t="s">
        <v>41</v>
      </c>
    </row>
    <row r="222" spans="1:20" x14ac:dyDescent="0.3">
      <c r="A222" t="s">
        <v>425</v>
      </c>
      <c r="B222" s="1">
        <v>45757</v>
      </c>
      <c r="C222" s="1" t="s">
        <v>1324</v>
      </c>
      <c r="D222" t="s">
        <v>426</v>
      </c>
      <c r="E222" t="s">
        <v>63</v>
      </c>
      <c r="F222" t="s">
        <v>22</v>
      </c>
      <c r="G222" t="s">
        <v>68</v>
      </c>
      <c r="H222" t="s">
        <v>31</v>
      </c>
      <c r="I222">
        <v>0</v>
      </c>
      <c r="J222">
        <v>0</v>
      </c>
      <c r="K222">
        <v>1733925</v>
      </c>
      <c r="L222">
        <v>0</v>
      </c>
      <c r="M222">
        <v>0</v>
      </c>
      <c r="N222">
        <v>783</v>
      </c>
      <c r="O222">
        <v>21</v>
      </c>
      <c r="P222" t="s">
        <v>32</v>
      </c>
      <c r="Q222">
        <v>971224</v>
      </c>
      <c r="R222" t="s">
        <v>26</v>
      </c>
      <c r="S222" t="s">
        <v>65</v>
      </c>
      <c r="T222" t="s">
        <v>60</v>
      </c>
    </row>
    <row r="223" spans="1:20" x14ac:dyDescent="0.3">
      <c r="A223" t="s">
        <v>427</v>
      </c>
      <c r="B223" s="1">
        <v>45670</v>
      </c>
      <c r="C223" s="1" t="s">
        <v>1321</v>
      </c>
      <c r="D223" t="s">
        <v>409</v>
      </c>
      <c r="E223" t="s">
        <v>55</v>
      </c>
      <c r="F223" t="s">
        <v>44</v>
      </c>
      <c r="G223" t="s">
        <v>68</v>
      </c>
      <c r="H223" t="s">
        <v>24</v>
      </c>
      <c r="I223">
        <v>0</v>
      </c>
      <c r="J223">
        <v>0</v>
      </c>
      <c r="K223">
        <v>0</v>
      </c>
      <c r="L223">
        <v>0</v>
      </c>
      <c r="M223">
        <v>8380.2900000000009</v>
      </c>
      <c r="N223">
        <v>887</v>
      </c>
      <c r="O223">
        <v>38</v>
      </c>
      <c r="P223" t="s">
        <v>25</v>
      </c>
      <c r="Q223">
        <v>520024</v>
      </c>
      <c r="R223" t="s">
        <v>49</v>
      </c>
      <c r="S223" t="s">
        <v>27</v>
      </c>
      <c r="T223" t="s">
        <v>34</v>
      </c>
    </row>
    <row r="224" spans="1:20" x14ac:dyDescent="0.3">
      <c r="A224" t="s">
        <v>428</v>
      </c>
      <c r="B224" s="1">
        <v>45733</v>
      </c>
      <c r="C224" s="1" t="s">
        <v>1323</v>
      </c>
      <c r="D224" t="s">
        <v>98</v>
      </c>
      <c r="E224" t="s">
        <v>77</v>
      </c>
      <c r="F224" t="s">
        <v>38</v>
      </c>
      <c r="G224" t="s">
        <v>59</v>
      </c>
      <c r="H224" t="s">
        <v>31</v>
      </c>
      <c r="I224">
        <v>0</v>
      </c>
      <c r="J224">
        <v>0</v>
      </c>
      <c r="K224">
        <v>1016202</v>
      </c>
      <c r="L224">
        <v>0</v>
      </c>
      <c r="M224">
        <v>0</v>
      </c>
      <c r="N224">
        <v>889</v>
      </c>
      <c r="O224">
        <v>53</v>
      </c>
      <c r="P224" t="s">
        <v>25</v>
      </c>
      <c r="Q224">
        <v>1128836</v>
      </c>
      <c r="R224" t="s">
        <v>49</v>
      </c>
      <c r="S224" t="s">
        <v>65</v>
      </c>
      <c r="T224" t="s">
        <v>41</v>
      </c>
    </row>
    <row r="225" spans="1:20" x14ac:dyDescent="0.3">
      <c r="A225" t="s">
        <v>429</v>
      </c>
      <c r="B225" s="1">
        <v>45710</v>
      </c>
      <c r="C225" s="1" t="s">
        <v>1322</v>
      </c>
      <c r="D225" t="s">
        <v>430</v>
      </c>
      <c r="E225" t="s">
        <v>63</v>
      </c>
      <c r="F225" t="s">
        <v>22</v>
      </c>
      <c r="G225" t="s">
        <v>39</v>
      </c>
      <c r="H225" t="s">
        <v>40</v>
      </c>
      <c r="I225">
        <v>0</v>
      </c>
      <c r="J225">
        <v>66321</v>
      </c>
      <c r="K225">
        <v>0</v>
      </c>
      <c r="L225">
        <v>0</v>
      </c>
      <c r="M225">
        <v>0</v>
      </c>
      <c r="N225">
        <v>772</v>
      </c>
      <c r="O225">
        <v>23</v>
      </c>
      <c r="P225" t="s">
        <v>32</v>
      </c>
      <c r="Q225">
        <v>756821</v>
      </c>
      <c r="R225" t="s">
        <v>49</v>
      </c>
      <c r="S225" t="s">
        <v>27</v>
      </c>
      <c r="T225" t="s">
        <v>28</v>
      </c>
    </row>
    <row r="226" spans="1:20" x14ac:dyDescent="0.3">
      <c r="A226" t="s">
        <v>431</v>
      </c>
      <c r="B226" s="1">
        <v>45852</v>
      </c>
      <c r="C226" s="1" t="s">
        <v>1327</v>
      </c>
      <c r="D226" t="s">
        <v>221</v>
      </c>
      <c r="E226" t="s">
        <v>21</v>
      </c>
      <c r="F226" t="s">
        <v>38</v>
      </c>
      <c r="G226" t="s">
        <v>59</v>
      </c>
      <c r="H226" t="s">
        <v>24</v>
      </c>
      <c r="I226">
        <v>0</v>
      </c>
      <c r="J226">
        <v>0</v>
      </c>
      <c r="K226">
        <v>0</v>
      </c>
      <c r="L226">
        <v>0</v>
      </c>
      <c r="M226">
        <v>6362.33</v>
      </c>
      <c r="N226">
        <v>900</v>
      </c>
      <c r="O226">
        <v>64</v>
      </c>
      <c r="P226" t="s">
        <v>32</v>
      </c>
      <c r="Q226">
        <v>302580</v>
      </c>
      <c r="R226" t="s">
        <v>26</v>
      </c>
      <c r="S226" t="s">
        <v>27</v>
      </c>
      <c r="T226" t="s">
        <v>34</v>
      </c>
    </row>
    <row r="227" spans="1:20" x14ac:dyDescent="0.3">
      <c r="A227" t="s">
        <v>432</v>
      </c>
      <c r="B227" s="1">
        <v>45769</v>
      </c>
      <c r="C227" s="1" t="s">
        <v>1324</v>
      </c>
      <c r="D227" t="s">
        <v>122</v>
      </c>
      <c r="E227" t="s">
        <v>63</v>
      </c>
      <c r="F227" t="s">
        <v>22</v>
      </c>
      <c r="G227" t="s">
        <v>68</v>
      </c>
      <c r="H227" t="s">
        <v>31</v>
      </c>
      <c r="I227">
        <v>0</v>
      </c>
      <c r="J227">
        <v>0</v>
      </c>
      <c r="K227">
        <v>656967</v>
      </c>
      <c r="L227">
        <v>0</v>
      </c>
      <c r="M227">
        <v>0</v>
      </c>
      <c r="N227">
        <v>725</v>
      </c>
      <c r="O227">
        <v>65</v>
      </c>
      <c r="P227" t="s">
        <v>25</v>
      </c>
      <c r="Q227">
        <v>2605336</v>
      </c>
      <c r="R227" t="s">
        <v>49</v>
      </c>
      <c r="S227" t="s">
        <v>33</v>
      </c>
      <c r="T227" t="s">
        <v>41</v>
      </c>
    </row>
    <row r="228" spans="1:20" x14ac:dyDescent="0.3">
      <c r="A228" t="s">
        <v>433</v>
      </c>
      <c r="B228" s="1">
        <v>45696</v>
      </c>
      <c r="C228" s="1" t="s">
        <v>1322</v>
      </c>
      <c r="D228" t="s">
        <v>434</v>
      </c>
      <c r="E228" t="s">
        <v>37</v>
      </c>
      <c r="F228" t="s">
        <v>38</v>
      </c>
      <c r="G228" t="s">
        <v>59</v>
      </c>
      <c r="H228" t="s">
        <v>31</v>
      </c>
      <c r="I228">
        <v>0</v>
      </c>
      <c r="J228">
        <v>0</v>
      </c>
      <c r="K228">
        <v>868789</v>
      </c>
      <c r="L228">
        <v>0</v>
      </c>
      <c r="M228">
        <v>0</v>
      </c>
      <c r="N228">
        <v>732</v>
      </c>
      <c r="O228">
        <v>23</v>
      </c>
      <c r="P228" t="s">
        <v>32</v>
      </c>
      <c r="Q228">
        <v>1415393</v>
      </c>
      <c r="R228" t="s">
        <v>26</v>
      </c>
      <c r="S228" t="s">
        <v>33</v>
      </c>
      <c r="T228" t="s">
        <v>41</v>
      </c>
    </row>
    <row r="229" spans="1:20" x14ac:dyDescent="0.3">
      <c r="A229" t="s">
        <v>435</v>
      </c>
      <c r="B229" s="1">
        <v>45696</v>
      </c>
      <c r="C229" s="1" t="s">
        <v>1322</v>
      </c>
      <c r="D229" t="s">
        <v>414</v>
      </c>
      <c r="E229" t="s">
        <v>55</v>
      </c>
      <c r="F229" t="s">
        <v>38</v>
      </c>
      <c r="G229" t="s">
        <v>39</v>
      </c>
      <c r="H229" t="s">
        <v>31</v>
      </c>
      <c r="I229">
        <v>0</v>
      </c>
      <c r="J229">
        <v>0</v>
      </c>
      <c r="K229">
        <v>467338</v>
      </c>
      <c r="L229">
        <v>0</v>
      </c>
      <c r="M229">
        <v>0</v>
      </c>
      <c r="N229">
        <v>607</v>
      </c>
      <c r="O229">
        <v>66</v>
      </c>
      <c r="P229" t="s">
        <v>32</v>
      </c>
      <c r="Q229">
        <v>656502</v>
      </c>
      <c r="R229" t="s">
        <v>26</v>
      </c>
      <c r="S229" t="s">
        <v>33</v>
      </c>
      <c r="T229" t="s">
        <v>34</v>
      </c>
    </row>
    <row r="230" spans="1:20" x14ac:dyDescent="0.3">
      <c r="A230" t="s">
        <v>437</v>
      </c>
      <c r="B230" s="1">
        <v>45668</v>
      </c>
      <c r="C230" s="1" t="s">
        <v>1321</v>
      </c>
      <c r="D230" t="s">
        <v>438</v>
      </c>
      <c r="E230" t="s">
        <v>37</v>
      </c>
      <c r="F230" t="s">
        <v>22</v>
      </c>
      <c r="G230" t="s">
        <v>59</v>
      </c>
      <c r="H230" t="s">
        <v>31</v>
      </c>
      <c r="I230">
        <v>0</v>
      </c>
      <c r="J230">
        <v>0</v>
      </c>
      <c r="K230">
        <v>402008</v>
      </c>
      <c r="L230">
        <v>0</v>
      </c>
      <c r="M230">
        <v>0</v>
      </c>
      <c r="N230">
        <v>585</v>
      </c>
      <c r="O230">
        <v>40</v>
      </c>
      <c r="P230" t="s">
        <v>32</v>
      </c>
      <c r="Q230">
        <v>1604507</v>
      </c>
      <c r="R230" t="s">
        <v>49</v>
      </c>
      <c r="S230" t="s">
        <v>33</v>
      </c>
      <c r="T230" t="s">
        <v>45</v>
      </c>
    </row>
    <row r="231" spans="1:20" x14ac:dyDescent="0.3">
      <c r="A231" t="s">
        <v>439</v>
      </c>
      <c r="B231" s="1">
        <v>45665</v>
      </c>
      <c r="C231" s="1" t="s">
        <v>1321</v>
      </c>
      <c r="D231" t="s">
        <v>430</v>
      </c>
      <c r="E231" t="s">
        <v>48</v>
      </c>
      <c r="F231" t="s">
        <v>21</v>
      </c>
      <c r="G231" t="s">
        <v>39</v>
      </c>
      <c r="H231" t="s">
        <v>31</v>
      </c>
      <c r="I231">
        <v>0</v>
      </c>
      <c r="J231">
        <v>0</v>
      </c>
      <c r="K231">
        <v>127031</v>
      </c>
      <c r="L231">
        <v>0</v>
      </c>
      <c r="M231">
        <v>0</v>
      </c>
      <c r="N231">
        <v>350</v>
      </c>
      <c r="O231">
        <v>26</v>
      </c>
      <c r="P231" t="s">
        <v>25</v>
      </c>
      <c r="Q231">
        <v>2350236</v>
      </c>
      <c r="R231" t="s">
        <v>49</v>
      </c>
      <c r="S231" t="s">
        <v>65</v>
      </c>
      <c r="T231" t="s">
        <v>60</v>
      </c>
    </row>
    <row r="232" spans="1:20" x14ac:dyDescent="0.3">
      <c r="A232" t="s">
        <v>440</v>
      </c>
      <c r="B232" s="1">
        <v>46015</v>
      </c>
      <c r="C232" s="1" t="s">
        <v>1332</v>
      </c>
      <c r="D232" t="s">
        <v>169</v>
      </c>
      <c r="E232" t="s">
        <v>21</v>
      </c>
      <c r="F232" t="s">
        <v>21</v>
      </c>
      <c r="G232" t="s">
        <v>23</v>
      </c>
      <c r="H232" t="s">
        <v>24</v>
      </c>
      <c r="I232">
        <v>0</v>
      </c>
      <c r="J232">
        <v>0</v>
      </c>
      <c r="K232">
        <v>0</v>
      </c>
      <c r="L232">
        <v>0</v>
      </c>
      <c r="M232">
        <v>8499.77</v>
      </c>
      <c r="N232">
        <v>640</v>
      </c>
      <c r="O232">
        <v>62</v>
      </c>
      <c r="P232" t="s">
        <v>25</v>
      </c>
      <c r="Q232">
        <v>354186</v>
      </c>
      <c r="R232" t="s">
        <v>49</v>
      </c>
      <c r="S232" t="s">
        <v>27</v>
      </c>
      <c r="T232" t="s">
        <v>41</v>
      </c>
    </row>
    <row r="233" spans="1:20" x14ac:dyDescent="0.3">
      <c r="A233" t="s">
        <v>441</v>
      </c>
      <c r="B233" s="1">
        <v>45860</v>
      </c>
      <c r="C233" s="1" t="s">
        <v>1327</v>
      </c>
      <c r="D233" t="s">
        <v>380</v>
      </c>
      <c r="E233" t="s">
        <v>55</v>
      </c>
      <c r="F233" t="s">
        <v>64</v>
      </c>
      <c r="G233" t="s">
        <v>23</v>
      </c>
      <c r="H233" t="s">
        <v>24</v>
      </c>
      <c r="I233">
        <v>0</v>
      </c>
      <c r="J233">
        <v>0</v>
      </c>
      <c r="K233">
        <v>0</v>
      </c>
      <c r="L233">
        <v>0</v>
      </c>
      <c r="M233">
        <v>1740.85</v>
      </c>
      <c r="N233">
        <v>339</v>
      </c>
      <c r="O233">
        <v>69</v>
      </c>
      <c r="P233" t="s">
        <v>32</v>
      </c>
      <c r="Q233">
        <v>1282395</v>
      </c>
      <c r="R233" t="s">
        <v>26</v>
      </c>
      <c r="S233" t="s">
        <v>27</v>
      </c>
      <c r="T233" t="s">
        <v>60</v>
      </c>
    </row>
    <row r="234" spans="1:20" x14ac:dyDescent="0.3">
      <c r="A234" t="s">
        <v>442</v>
      </c>
      <c r="B234" s="1">
        <v>45879</v>
      </c>
      <c r="C234" s="1" t="s">
        <v>1328</v>
      </c>
      <c r="D234" t="s">
        <v>443</v>
      </c>
      <c r="E234" t="s">
        <v>21</v>
      </c>
      <c r="F234" t="s">
        <v>22</v>
      </c>
      <c r="G234" t="s">
        <v>39</v>
      </c>
      <c r="H234" t="s">
        <v>31</v>
      </c>
      <c r="I234">
        <v>0</v>
      </c>
      <c r="J234">
        <v>0</v>
      </c>
      <c r="K234">
        <v>1122421</v>
      </c>
      <c r="L234">
        <v>0</v>
      </c>
      <c r="M234">
        <v>0</v>
      </c>
      <c r="N234">
        <v>842</v>
      </c>
      <c r="O234">
        <v>39</v>
      </c>
      <c r="P234" t="s">
        <v>25</v>
      </c>
      <c r="Q234">
        <v>2845182</v>
      </c>
      <c r="R234" t="s">
        <v>49</v>
      </c>
      <c r="S234" t="s">
        <v>65</v>
      </c>
      <c r="T234" t="s">
        <v>45</v>
      </c>
    </row>
    <row r="235" spans="1:20" x14ac:dyDescent="0.3">
      <c r="A235" t="s">
        <v>444</v>
      </c>
      <c r="B235" s="1">
        <v>45991</v>
      </c>
      <c r="C235" s="1" t="s">
        <v>1331</v>
      </c>
      <c r="D235" t="s">
        <v>445</v>
      </c>
      <c r="E235" t="s">
        <v>63</v>
      </c>
      <c r="F235" t="s">
        <v>21</v>
      </c>
      <c r="G235" t="s">
        <v>23</v>
      </c>
      <c r="H235" t="s">
        <v>24</v>
      </c>
      <c r="I235">
        <v>0</v>
      </c>
      <c r="J235">
        <v>0</v>
      </c>
      <c r="K235">
        <v>0</v>
      </c>
      <c r="L235">
        <v>0</v>
      </c>
      <c r="M235">
        <v>3022.19</v>
      </c>
      <c r="N235">
        <v>713</v>
      </c>
      <c r="O235">
        <v>30</v>
      </c>
      <c r="P235" t="s">
        <v>25</v>
      </c>
      <c r="Q235">
        <v>530439</v>
      </c>
      <c r="R235" t="s">
        <v>26</v>
      </c>
      <c r="S235" t="s">
        <v>27</v>
      </c>
      <c r="T235" t="s">
        <v>28</v>
      </c>
    </row>
    <row r="236" spans="1:20" x14ac:dyDescent="0.3">
      <c r="A236" t="s">
        <v>446</v>
      </c>
      <c r="B236" s="1">
        <v>45851</v>
      </c>
      <c r="C236" s="1" t="s">
        <v>1327</v>
      </c>
      <c r="D236" t="s">
        <v>122</v>
      </c>
      <c r="E236" t="s">
        <v>55</v>
      </c>
      <c r="F236" t="s">
        <v>21</v>
      </c>
      <c r="G236" t="s">
        <v>59</v>
      </c>
      <c r="H236" t="s">
        <v>52</v>
      </c>
      <c r="I236">
        <v>0</v>
      </c>
      <c r="J236">
        <v>0</v>
      </c>
      <c r="K236">
        <v>0</v>
      </c>
      <c r="L236">
        <v>2146</v>
      </c>
      <c r="M236">
        <v>0</v>
      </c>
      <c r="N236">
        <v>674</v>
      </c>
      <c r="O236">
        <v>61</v>
      </c>
      <c r="P236" t="s">
        <v>25</v>
      </c>
      <c r="Q236">
        <v>465802</v>
      </c>
      <c r="R236" t="s">
        <v>26</v>
      </c>
      <c r="S236" t="s">
        <v>74</v>
      </c>
      <c r="T236" t="s">
        <v>41</v>
      </c>
    </row>
    <row r="237" spans="1:20" x14ac:dyDescent="0.3">
      <c r="A237" t="s">
        <v>447</v>
      </c>
      <c r="B237" s="1">
        <v>45895</v>
      </c>
      <c r="C237" s="1" t="s">
        <v>1328</v>
      </c>
      <c r="D237" t="s">
        <v>448</v>
      </c>
      <c r="E237" t="s">
        <v>55</v>
      </c>
      <c r="F237" t="s">
        <v>44</v>
      </c>
      <c r="G237" t="s">
        <v>59</v>
      </c>
      <c r="H237" t="s">
        <v>56</v>
      </c>
      <c r="I237">
        <v>134854</v>
      </c>
      <c r="J237">
        <v>0</v>
      </c>
      <c r="K237">
        <v>0</v>
      </c>
      <c r="L237">
        <v>0</v>
      </c>
      <c r="M237">
        <v>0</v>
      </c>
      <c r="N237">
        <v>659</v>
      </c>
      <c r="O237">
        <v>69</v>
      </c>
      <c r="P237" t="s">
        <v>25</v>
      </c>
      <c r="Q237">
        <v>2970273</v>
      </c>
      <c r="R237" t="s">
        <v>49</v>
      </c>
      <c r="S237" t="s">
        <v>27</v>
      </c>
      <c r="T237" t="s">
        <v>45</v>
      </c>
    </row>
    <row r="238" spans="1:20" x14ac:dyDescent="0.3">
      <c r="A238" t="s">
        <v>449</v>
      </c>
      <c r="B238" s="1">
        <v>45936</v>
      </c>
      <c r="C238" s="1" t="s">
        <v>1330</v>
      </c>
      <c r="D238" t="s">
        <v>221</v>
      </c>
      <c r="E238" t="s">
        <v>37</v>
      </c>
      <c r="F238" t="s">
        <v>38</v>
      </c>
      <c r="G238" t="s">
        <v>39</v>
      </c>
      <c r="H238" t="s">
        <v>31</v>
      </c>
      <c r="I238">
        <v>0</v>
      </c>
      <c r="J238">
        <v>0</v>
      </c>
      <c r="K238">
        <v>381464</v>
      </c>
      <c r="L238">
        <v>0</v>
      </c>
      <c r="M238">
        <v>0</v>
      </c>
      <c r="N238">
        <v>858</v>
      </c>
      <c r="O238">
        <v>70</v>
      </c>
      <c r="P238" t="s">
        <v>32</v>
      </c>
      <c r="Q238">
        <v>1554036</v>
      </c>
      <c r="R238" t="s">
        <v>49</v>
      </c>
      <c r="S238" t="s">
        <v>33</v>
      </c>
      <c r="T238" t="s">
        <v>28</v>
      </c>
    </row>
    <row r="239" spans="1:20" x14ac:dyDescent="0.3">
      <c r="A239" t="s">
        <v>450</v>
      </c>
      <c r="B239" s="1">
        <v>45761</v>
      </c>
      <c r="C239" s="1" t="s">
        <v>1324</v>
      </c>
      <c r="D239" t="s">
        <v>278</v>
      </c>
      <c r="E239" t="s">
        <v>21</v>
      </c>
      <c r="F239" t="s">
        <v>64</v>
      </c>
      <c r="G239" t="s">
        <v>23</v>
      </c>
      <c r="H239" t="s">
        <v>56</v>
      </c>
      <c r="I239">
        <v>101504</v>
      </c>
      <c r="J239">
        <v>0</v>
      </c>
      <c r="K239">
        <v>0</v>
      </c>
      <c r="L239">
        <v>0</v>
      </c>
      <c r="M239">
        <v>0</v>
      </c>
      <c r="N239">
        <v>530</v>
      </c>
      <c r="O239">
        <v>40</v>
      </c>
      <c r="P239" t="s">
        <v>25</v>
      </c>
      <c r="Q239">
        <v>2137405</v>
      </c>
      <c r="R239" t="s">
        <v>49</v>
      </c>
      <c r="S239" t="s">
        <v>27</v>
      </c>
      <c r="T239" t="s">
        <v>28</v>
      </c>
    </row>
    <row r="240" spans="1:20" x14ac:dyDescent="0.3">
      <c r="A240" t="s">
        <v>451</v>
      </c>
      <c r="B240" s="1">
        <v>45805</v>
      </c>
      <c r="C240" s="1" t="s">
        <v>1325</v>
      </c>
      <c r="D240" t="s">
        <v>452</v>
      </c>
      <c r="E240" t="s">
        <v>21</v>
      </c>
      <c r="F240" t="s">
        <v>21</v>
      </c>
      <c r="G240" t="s">
        <v>59</v>
      </c>
      <c r="H240" t="s">
        <v>56</v>
      </c>
      <c r="I240">
        <v>14908</v>
      </c>
      <c r="J240">
        <v>0</v>
      </c>
      <c r="K240">
        <v>0</v>
      </c>
      <c r="L240">
        <v>0</v>
      </c>
      <c r="M240">
        <v>0</v>
      </c>
      <c r="N240">
        <v>512</v>
      </c>
      <c r="O240">
        <v>27</v>
      </c>
      <c r="P240" t="s">
        <v>32</v>
      </c>
      <c r="Q240">
        <v>2664920</v>
      </c>
      <c r="R240" t="s">
        <v>49</v>
      </c>
      <c r="S240" t="s">
        <v>27</v>
      </c>
      <c r="T240" t="s">
        <v>41</v>
      </c>
    </row>
    <row r="241" spans="1:20" x14ac:dyDescent="0.3">
      <c r="A241" t="s">
        <v>453</v>
      </c>
      <c r="B241" s="1">
        <v>45920</v>
      </c>
      <c r="C241" s="1" t="s">
        <v>1329</v>
      </c>
      <c r="D241" t="s">
        <v>454</v>
      </c>
      <c r="E241" t="s">
        <v>37</v>
      </c>
      <c r="F241" t="s">
        <v>64</v>
      </c>
      <c r="G241" t="s">
        <v>59</v>
      </c>
      <c r="H241" t="s">
        <v>52</v>
      </c>
      <c r="I241">
        <v>0</v>
      </c>
      <c r="J241">
        <v>0</v>
      </c>
      <c r="K241">
        <v>0</v>
      </c>
      <c r="L241">
        <v>10740</v>
      </c>
      <c r="M241">
        <v>0</v>
      </c>
      <c r="N241">
        <v>765</v>
      </c>
      <c r="O241">
        <v>55</v>
      </c>
      <c r="P241" t="s">
        <v>32</v>
      </c>
      <c r="Q241">
        <v>1790007</v>
      </c>
      <c r="R241" t="s">
        <v>26</v>
      </c>
      <c r="S241" t="s">
        <v>74</v>
      </c>
      <c r="T241" t="s">
        <v>28</v>
      </c>
    </row>
    <row r="242" spans="1:20" x14ac:dyDescent="0.3">
      <c r="A242" t="s">
        <v>455</v>
      </c>
      <c r="B242" s="1">
        <v>45719</v>
      </c>
      <c r="C242" s="1" t="s">
        <v>1323</v>
      </c>
      <c r="D242" t="s">
        <v>173</v>
      </c>
      <c r="E242" t="s">
        <v>63</v>
      </c>
      <c r="F242" t="s">
        <v>38</v>
      </c>
      <c r="G242" t="s">
        <v>39</v>
      </c>
      <c r="H242" t="s">
        <v>24</v>
      </c>
      <c r="I242">
        <v>0</v>
      </c>
      <c r="J242">
        <v>0</v>
      </c>
      <c r="K242">
        <v>0</v>
      </c>
      <c r="L242">
        <v>0</v>
      </c>
      <c r="M242">
        <v>4854.01</v>
      </c>
      <c r="N242">
        <v>621</v>
      </c>
      <c r="O242">
        <v>29</v>
      </c>
      <c r="P242" t="s">
        <v>25</v>
      </c>
      <c r="Q242">
        <v>1990166</v>
      </c>
      <c r="R242" t="s">
        <v>49</v>
      </c>
      <c r="S242" t="s">
        <v>27</v>
      </c>
      <c r="T242" t="s">
        <v>60</v>
      </c>
    </row>
    <row r="243" spans="1:20" x14ac:dyDescent="0.3">
      <c r="A243" t="s">
        <v>456</v>
      </c>
      <c r="B243" s="1">
        <v>45709</v>
      </c>
      <c r="C243" s="1" t="s">
        <v>1322</v>
      </c>
      <c r="D243" t="s">
        <v>457</v>
      </c>
      <c r="E243" t="s">
        <v>77</v>
      </c>
      <c r="F243" t="s">
        <v>38</v>
      </c>
      <c r="G243" t="s">
        <v>39</v>
      </c>
      <c r="H243" t="s">
        <v>40</v>
      </c>
      <c r="I243">
        <v>0</v>
      </c>
      <c r="J243">
        <v>16195</v>
      </c>
      <c r="K243">
        <v>0</v>
      </c>
      <c r="L243">
        <v>0</v>
      </c>
      <c r="M243">
        <v>0</v>
      </c>
      <c r="N243">
        <v>620</v>
      </c>
      <c r="O243">
        <v>56</v>
      </c>
      <c r="P243" t="s">
        <v>32</v>
      </c>
      <c r="Q243">
        <v>1009783</v>
      </c>
      <c r="R243" t="s">
        <v>49</v>
      </c>
      <c r="S243" t="s">
        <v>27</v>
      </c>
      <c r="T243" t="s">
        <v>60</v>
      </c>
    </row>
    <row r="244" spans="1:20" x14ac:dyDescent="0.3">
      <c r="A244" t="s">
        <v>458</v>
      </c>
      <c r="B244" s="1">
        <v>45749</v>
      </c>
      <c r="C244" s="1" t="s">
        <v>1324</v>
      </c>
      <c r="D244" t="s">
        <v>452</v>
      </c>
      <c r="E244" t="s">
        <v>77</v>
      </c>
      <c r="F244" t="s">
        <v>22</v>
      </c>
      <c r="G244" t="s">
        <v>23</v>
      </c>
      <c r="H244" t="s">
        <v>31</v>
      </c>
      <c r="I244">
        <v>0</v>
      </c>
      <c r="J244">
        <v>0</v>
      </c>
      <c r="K244">
        <v>677800</v>
      </c>
      <c r="L244">
        <v>0</v>
      </c>
      <c r="M244">
        <v>0</v>
      </c>
      <c r="N244">
        <v>681</v>
      </c>
      <c r="O244">
        <v>53</v>
      </c>
      <c r="P244" t="s">
        <v>25</v>
      </c>
      <c r="Q244">
        <v>2546387</v>
      </c>
      <c r="R244" t="s">
        <v>49</v>
      </c>
      <c r="S244" t="s">
        <v>65</v>
      </c>
      <c r="T244" t="s">
        <v>45</v>
      </c>
    </row>
    <row r="245" spans="1:20" x14ac:dyDescent="0.3">
      <c r="A245" t="s">
        <v>459</v>
      </c>
      <c r="B245" s="1">
        <v>45936</v>
      </c>
      <c r="C245" s="1" t="s">
        <v>1330</v>
      </c>
      <c r="D245" t="s">
        <v>150</v>
      </c>
      <c r="E245" t="s">
        <v>48</v>
      </c>
      <c r="F245" t="s">
        <v>22</v>
      </c>
      <c r="G245" t="s">
        <v>39</v>
      </c>
      <c r="H245" t="s">
        <v>24</v>
      </c>
      <c r="I245">
        <v>0</v>
      </c>
      <c r="J245">
        <v>0</v>
      </c>
      <c r="K245">
        <v>0</v>
      </c>
      <c r="L245">
        <v>0</v>
      </c>
      <c r="M245">
        <v>8052.57</v>
      </c>
      <c r="N245">
        <v>401</v>
      </c>
      <c r="O245">
        <v>55</v>
      </c>
      <c r="P245" t="s">
        <v>25</v>
      </c>
      <c r="Q245">
        <v>2380313</v>
      </c>
      <c r="R245" t="s">
        <v>49</v>
      </c>
      <c r="S245" t="s">
        <v>27</v>
      </c>
      <c r="T245" t="s">
        <v>45</v>
      </c>
    </row>
    <row r="246" spans="1:20" x14ac:dyDescent="0.3">
      <c r="A246" t="s">
        <v>460</v>
      </c>
      <c r="B246" s="1">
        <v>45846</v>
      </c>
      <c r="C246" s="1" t="s">
        <v>1327</v>
      </c>
      <c r="D246" t="s">
        <v>242</v>
      </c>
      <c r="E246" t="s">
        <v>37</v>
      </c>
      <c r="F246" t="s">
        <v>21</v>
      </c>
      <c r="G246" t="s">
        <v>23</v>
      </c>
      <c r="H246" t="s">
        <v>52</v>
      </c>
      <c r="I246">
        <v>0</v>
      </c>
      <c r="J246">
        <v>0</v>
      </c>
      <c r="K246">
        <v>0</v>
      </c>
      <c r="L246">
        <v>11297</v>
      </c>
      <c r="M246">
        <v>0</v>
      </c>
      <c r="N246">
        <v>638</v>
      </c>
      <c r="O246">
        <v>35</v>
      </c>
      <c r="P246" t="s">
        <v>32</v>
      </c>
      <c r="Q246">
        <v>2803292</v>
      </c>
      <c r="R246" t="s">
        <v>49</v>
      </c>
      <c r="S246" t="s">
        <v>74</v>
      </c>
      <c r="T246" t="s">
        <v>60</v>
      </c>
    </row>
    <row r="247" spans="1:20" x14ac:dyDescent="0.3">
      <c r="A247" t="s">
        <v>461</v>
      </c>
      <c r="B247" s="1">
        <v>45888</v>
      </c>
      <c r="C247" s="1" t="s">
        <v>1328</v>
      </c>
      <c r="D247" t="s">
        <v>462</v>
      </c>
      <c r="E247" t="s">
        <v>77</v>
      </c>
      <c r="F247" t="s">
        <v>38</v>
      </c>
      <c r="G247" t="s">
        <v>39</v>
      </c>
      <c r="H247" t="s">
        <v>24</v>
      </c>
      <c r="I247">
        <v>0</v>
      </c>
      <c r="J247">
        <v>0</v>
      </c>
      <c r="K247">
        <v>0</v>
      </c>
      <c r="L247">
        <v>0</v>
      </c>
      <c r="M247">
        <v>54.41</v>
      </c>
      <c r="N247">
        <v>831</v>
      </c>
      <c r="O247">
        <v>57</v>
      </c>
      <c r="P247" t="s">
        <v>25</v>
      </c>
      <c r="Q247">
        <v>2570389</v>
      </c>
      <c r="R247" t="s">
        <v>49</v>
      </c>
      <c r="S247" t="s">
        <v>27</v>
      </c>
      <c r="T247" t="s">
        <v>28</v>
      </c>
    </row>
    <row r="248" spans="1:20" x14ac:dyDescent="0.3">
      <c r="A248" t="s">
        <v>463</v>
      </c>
      <c r="B248" s="1">
        <v>45771</v>
      </c>
      <c r="C248" s="1" t="s">
        <v>1324</v>
      </c>
      <c r="D248" t="s">
        <v>464</v>
      </c>
      <c r="E248" t="s">
        <v>77</v>
      </c>
      <c r="F248" t="s">
        <v>64</v>
      </c>
      <c r="G248" t="s">
        <v>59</v>
      </c>
      <c r="H248" t="s">
        <v>52</v>
      </c>
      <c r="I248">
        <v>0</v>
      </c>
      <c r="J248">
        <v>0</v>
      </c>
      <c r="K248">
        <v>0</v>
      </c>
      <c r="L248">
        <v>13088</v>
      </c>
      <c r="M248">
        <v>0</v>
      </c>
      <c r="N248">
        <v>623</v>
      </c>
      <c r="O248">
        <v>53</v>
      </c>
      <c r="P248" t="s">
        <v>25</v>
      </c>
      <c r="Q248">
        <v>2175485</v>
      </c>
      <c r="R248" t="s">
        <v>49</v>
      </c>
      <c r="S248" t="s">
        <v>71</v>
      </c>
      <c r="T248" t="s">
        <v>28</v>
      </c>
    </row>
    <row r="249" spans="1:20" x14ac:dyDescent="0.3">
      <c r="A249" t="s">
        <v>465</v>
      </c>
      <c r="B249" s="1">
        <v>45903</v>
      </c>
      <c r="C249" s="1" t="s">
        <v>1329</v>
      </c>
      <c r="D249" t="s">
        <v>114</v>
      </c>
      <c r="E249" t="s">
        <v>63</v>
      </c>
      <c r="F249" t="s">
        <v>22</v>
      </c>
      <c r="G249" t="s">
        <v>39</v>
      </c>
      <c r="H249" t="s">
        <v>24</v>
      </c>
      <c r="I249">
        <v>0</v>
      </c>
      <c r="J249">
        <v>0</v>
      </c>
      <c r="K249">
        <v>0</v>
      </c>
      <c r="L249">
        <v>0</v>
      </c>
      <c r="M249">
        <v>4884.83</v>
      </c>
      <c r="N249">
        <v>861</v>
      </c>
      <c r="O249">
        <v>29</v>
      </c>
      <c r="P249" t="s">
        <v>25</v>
      </c>
      <c r="Q249">
        <v>1803170</v>
      </c>
      <c r="R249" t="s">
        <v>49</v>
      </c>
      <c r="S249" t="s">
        <v>27</v>
      </c>
      <c r="T249" t="s">
        <v>28</v>
      </c>
    </row>
    <row r="250" spans="1:20" x14ac:dyDescent="0.3">
      <c r="A250" t="s">
        <v>466</v>
      </c>
      <c r="B250" s="1">
        <v>45743</v>
      </c>
      <c r="C250" s="1" t="s">
        <v>1323</v>
      </c>
      <c r="D250" t="s">
        <v>454</v>
      </c>
      <c r="E250" t="s">
        <v>77</v>
      </c>
      <c r="F250" t="s">
        <v>38</v>
      </c>
      <c r="G250" t="s">
        <v>68</v>
      </c>
      <c r="H250" t="s">
        <v>24</v>
      </c>
      <c r="I250">
        <v>0</v>
      </c>
      <c r="J250">
        <v>0</v>
      </c>
      <c r="K250">
        <v>0</v>
      </c>
      <c r="L250">
        <v>0</v>
      </c>
      <c r="M250">
        <v>4230.24</v>
      </c>
      <c r="N250">
        <v>678</v>
      </c>
      <c r="O250">
        <v>57</v>
      </c>
      <c r="P250" t="s">
        <v>32</v>
      </c>
      <c r="Q250">
        <v>1546948</v>
      </c>
      <c r="R250" t="s">
        <v>49</v>
      </c>
      <c r="S250" t="s">
        <v>27</v>
      </c>
      <c r="T250" t="s">
        <v>34</v>
      </c>
    </row>
    <row r="251" spans="1:20" x14ac:dyDescent="0.3">
      <c r="A251" t="s">
        <v>467</v>
      </c>
      <c r="B251" s="1">
        <v>46015</v>
      </c>
      <c r="C251" s="1" t="s">
        <v>1332</v>
      </c>
      <c r="D251" t="s">
        <v>436</v>
      </c>
      <c r="E251" t="s">
        <v>48</v>
      </c>
      <c r="F251" t="s">
        <v>21</v>
      </c>
      <c r="G251" t="s">
        <v>59</v>
      </c>
      <c r="H251" t="s">
        <v>40</v>
      </c>
      <c r="I251">
        <v>0</v>
      </c>
      <c r="J251">
        <v>70470</v>
      </c>
      <c r="K251">
        <v>0</v>
      </c>
      <c r="L251">
        <v>0</v>
      </c>
      <c r="M251">
        <v>0</v>
      </c>
      <c r="N251">
        <v>610</v>
      </c>
      <c r="O251">
        <v>29</v>
      </c>
      <c r="P251" t="s">
        <v>32</v>
      </c>
      <c r="Q251">
        <v>2900880</v>
      </c>
      <c r="R251" t="s">
        <v>26</v>
      </c>
      <c r="S251" t="s">
        <v>27</v>
      </c>
      <c r="T251" t="s">
        <v>34</v>
      </c>
    </row>
    <row r="252" spans="1:20" x14ac:dyDescent="0.3">
      <c r="A252" t="s">
        <v>468</v>
      </c>
      <c r="B252" s="1">
        <v>45717</v>
      </c>
      <c r="C252" s="1" t="s">
        <v>1323</v>
      </c>
      <c r="D252" t="s">
        <v>339</v>
      </c>
      <c r="E252" t="s">
        <v>55</v>
      </c>
      <c r="F252" t="s">
        <v>22</v>
      </c>
      <c r="G252" t="s">
        <v>59</v>
      </c>
      <c r="H252" t="s">
        <v>24</v>
      </c>
      <c r="I252">
        <v>0</v>
      </c>
      <c r="J252">
        <v>0</v>
      </c>
      <c r="K252">
        <v>0</v>
      </c>
      <c r="L252">
        <v>0</v>
      </c>
      <c r="M252">
        <v>5444.57</v>
      </c>
      <c r="N252">
        <v>809</v>
      </c>
      <c r="O252">
        <v>44</v>
      </c>
      <c r="P252" t="s">
        <v>32</v>
      </c>
      <c r="Q252">
        <v>1050640</v>
      </c>
      <c r="R252" t="s">
        <v>26</v>
      </c>
      <c r="S252" t="s">
        <v>27</v>
      </c>
      <c r="T252" t="s">
        <v>34</v>
      </c>
    </row>
    <row r="253" spans="1:20" x14ac:dyDescent="0.3">
      <c r="A253" t="s">
        <v>469</v>
      </c>
      <c r="B253" s="1">
        <v>45992</v>
      </c>
      <c r="C253" s="1" t="s">
        <v>1332</v>
      </c>
      <c r="D253" t="s">
        <v>93</v>
      </c>
      <c r="E253" t="s">
        <v>63</v>
      </c>
      <c r="F253" t="s">
        <v>44</v>
      </c>
      <c r="G253" t="s">
        <v>23</v>
      </c>
      <c r="H253" t="s">
        <v>40</v>
      </c>
      <c r="I253">
        <v>0</v>
      </c>
      <c r="J253">
        <v>4378</v>
      </c>
      <c r="K253">
        <v>0</v>
      </c>
      <c r="L253">
        <v>0</v>
      </c>
      <c r="M253">
        <v>0</v>
      </c>
      <c r="N253">
        <v>868</v>
      </c>
      <c r="O253">
        <v>20</v>
      </c>
      <c r="P253" t="s">
        <v>25</v>
      </c>
      <c r="Q253">
        <v>2163406</v>
      </c>
      <c r="R253" t="s">
        <v>49</v>
      </c>
      <c r="S253" t="s">
        <v>27</v>
      </c>
      <c r="T253" t="s">
        <v>28</v>
      </c>
    </row>
    <row r="254" spans="1:20" x14ac:dyDescent="0.3">
      <c r="A254" t="s">
        <v>470</v>
      </c>
      <c r="B254" s="1">
        <v>45724</v>
      </c>
      <c r="C254" s="1" t="s">
        <v>1323</v>
      </c>
      <c r="D254" t="s">
        <v>237</v>
      </c>
      <c r="E254" t="s">
        <v>48</v>
      </c>
      <c r="F254" t="s">
        <v>64</v>
      </c>
      <c r="G254" t="s">
        <v>59</v>
      </c>
      <c r="H254" t="s">
        <v>52</v>
      </c>
      <c r="I254">
        <v>0</v>
      </c>
      <c r="J254">
        <v>0</v>
      </c>
      <c r="K254">
        <v>0</v>
      </c>
      <c r="L254">
        <v>23768</v>
      </c>
      <c r="M254">
        <v>0</v>
      </c>
      <c r="N254">
        <v>831</v>
      </c>
      <c r="O254">
        <v>24</v>
      </c>
      <c r="P254" t="s">
        <v>25</v>
      </c>
      <c r="Q254">
        <v>1748139</v>
      </c>
      <c r="R254" t="s">
        <v>26</v>
      </c>
      <c r="S254" t="s">
        <v>33</v>
      </c>
      <c r="T254" t="s">
        <v>28</v>
      </c>
    </row>
    <row r="255" spans="1:20" x14ac:dyDescent="0.3">
      <c r="A255" t="s">
        <v>471</v>
      </c>
      <c r="B255" s="1">
        <v>45855</v>
      </c>
      <c r="C255" s="1" t="s">
        <v>1327</v>
      </c>
      <c r="D255" t="s">
        <v>337</v>
      </c>
      <c r="E255" t="s">
        <v>21</v>
      </c>
      <c r="F255" t="s">
        <v>44</v>
      </c>
      <c r="G255" t="s">
        <v>23</v>
      </c>
      <c r="H255" t="s">
        <v>40</v>
      </c>
      <c r="I255">
        <v>0</v>
      </c>
      <c r="J255">
        <v>63799</v>
      </c>
      <c r="K255">
        <v>0</v>
      </c>
      <c r="L255">
        <v>0</v>
      </c>
      <c r="M255">
        <v>0</v>
      </c>
      <c r="N255">
        <v>615</v>
      </c>
      <c r="O255">
        <v>28</v>
      </c>
      <c r="P255" t="s">
        <v>25</v>
      </c>
      <c r="Q255">
        <v>710525</v>
      </c>
      <c r="R255" t="s">
        <v>49</v>
      </c>
      <c r="S255" t="s">
        <v>27</v>
      </c>
      <c r="T255" t="s">
        <v>28</v>
      </c>
    </row>
    <row r="256" spans="1:20" x14ac:dyDescent="0.3">
      <c r="A256" t="s">
        <v>472</v>
      </c>
      <c r="B256" s="1">
        <v>45912</v>
      </c>
      <c r="C256" s="1" t="s">
        <v>1329</v>
      </c>
      <c r="D256" t="s">
        <v>110</v>
      </c>
      <c r="E256" t="s">
        <v>77</v>
      </c>
      <c r="F256" t="s">
        <v>38</v>
      </c>
      <c r="G256" t="s">
        <v>68</v>
      </c>
      <c r="H256" t="s">
        <v>40</v>
      </c>
      <c r="I256">
        <v>0</v>
      </c>
      <c r="J256">
        <v>72902</v>
      </c>
      <c r="K256">
        <v>0</v>
      </c>
      <c r="L256">
        <v>0</v>
      </c>
      <c r="M256">
        <v>0</v>
      </c>
      <c r="N256">
        <v>568</v>
      </c>
      <c r="O256">
        <v>63</v>
      </c>
      <c r="P256" t="s">
        <v>25</v>
      </c>
      <c r="Q256">
        <v>1596427</v>
      </c>
      <c r="R256" t="s">
        <v>26</v>
      </c>
      <c r="S256" t="s">
        <v>27</v>
      </c>
      <c r="T256" t="s">
        <v>28</v>
      </c>
    </row>
    <row r="257" spans="1:20" x14ac:dyDescent="0.3">
      <c r="A257" t="s">
        <v>473</v>
      </c>
      <c r="B257" s="1">
        <v>45821</v>
      </c>
      <c r="C257" s="1" t="s">
        <v>1326</v>
      </c>
      <c r="D257" t="s">
        <v>200</v>
      </c>
      <c r="E257" t="s">
        <v>63</v>
      </c>
      <c r="F257" t="s">
        <v>38</v>
      </c>
      <c r="G257" t="s">
        <v>59</v>
      </c>
      <c r="H257" t="s">
        <v>24</v>
      </c>
      <c r="I257">
        <v>0</v>
      </c>
      <c r="J257">
        <v>0</v>
      </c>
      <c r="K257">
        <v>0</v>
      </c>
      <c r="L257">
        <v>0</v>
      </c>
      <c r="M257">
        <v>3641.36</v>
      </c>
      <c r="N257">
        <v>309</v>
      </c>
      <c r="O257">
        <v>62</v>
      </c>
      <c r="P257" t="s">
        <v>25</v>
      </c>
      <c r="Q257">
        <v>1110914</v>
      </c>
      <c r="R257" t="s">
        <v>49</v>
      </c>
      <c r="S257" t="s">
        <v>27</v>
      </c>
      <c r="T257" t="s">
        <v>45</v>
      </c>
    </row>
    <row r="258" spans="1:20" x14ac:dyDescent="0.3">
      <c r="A258" t="s">
        <v>474</v>
      </c>
      <c r="B258" s="1">
        <v>45966</v>
      </c>
      <c r="C258" s="1" t="s">
        <v>1331</v>
      </c>
      <c r="D258" t="s">
        <v>475</v>
      </c>
      <c r="E258" t="s">
        <v>77</v>
      </c>
      <c r="F258" t="s">
        <v>22</v>
      </c>
      <c r="G258" t="s">
        <v>59</v>
      </c>
      <c r="H258" t="s">
        <v>24</v>
      </c>
      <c r="I258">
        <v>0</v>
      </c>
      <c r="J258">
        <v>0</v>
      </c>
      <c r="K258">
        <v>0</v>
      </c>
      <c r="L258">
        <v>0</v>
      </c>
      <c r="M258">
        <v>8823.4699999999993</v>
      </c>
      <c r="N258">
        <v>800</v>
      </c>
      <c r="O258">
        <v>55</v>
      </c>
      <c r="P258" t="s">
        <v>25</v>
      </c>
      <c r="Q258">
        <v>684259</v>
      </c>
      <c r="R258" t="s">
        <v>26</v>
      </c>
      <c r="S258" t="s">
        <v>27</v>
      </c>
      <c r="T258" t="s">
        <v>28</v>
      </c>
    </row>
    <row r="259" spans="1:20" x14ac:dyDescent="0.3">
      <c r="A259" t="s">
        <v>476</v>
      </c>
      <c r="B259" s="1">
        <v>45817</v>
      </c>
      <c r="C259" s="1" t="s">
        <v>1326</v>
      </c>
      <c r="D259" t="s">
        <v>221</v>
      </c>
      <c r="E259" t="s">
        <v>48</v>
      </c>
      <c r="F259" t="s">
        <v>38</v>
      </c>
      <c r="G259" t="s">
        <v>39</v>
      </c>
      <c r="H259" t="s">
        <v>52</v>
      </c>
      <c r="I259">
        <v>0</v>
      </c>
      <c r="J259">
        <v>0</v>
      </c>
      <c r="K259">
        <v>0</v>
      </c>
      <c r="L259">
        <v>40612</v>
      </c>
      <c r="M259">
        <v>0</v>
      </c>
      <c r="N259">
        <v>594</v>
      </c>
      <c r="O259">
        <v>57</v>
      </c>
      <c r="P259" t="s">
        <v>32</v>
      </c>
      <c r="Q259">
        <v>2162990</v>
      </c>
      <c r="R259" t="s">
        <v>26</v>
      </c>
      <c r="S259" t="s">
        <v>33</v>
      </c>
      <c r="T259" t="s">
        <v>28</v>
      </c>
    </row>
    <row r="260" spans="1:20" x14ac:dyDescent="0.3">
      <c r="A260" t="s">
        <v>477</v>
      </c>
      <c r="B260" s="1">
        <v>45982</v>
      </c>
      <c r="C260" s="1" t="s">
        <v>1331</v>
      </c>
      <c r="D260" t="s">
        <v>177</v>
      </c>
      <c r="E260" t="s">
        <v>21</v>
      </c>
      <c r="F260" t="s">
        <v>44</v>
      </c>
      <c r="G260" t="s">
        <v>59</v>
      </c>
      <c r="H260" t="s">
        <v>24</v>
      </c>
      <c r="I260">
        <v>0</v>
      </c>
      <c r="J260">
        <v>0</v>
      </c>
      <c r="K260">
        <v>0</v>
      </c>
      <c r="L260">
        <v>0</v>
      </c>
      <c r="M260">
        <v>9102.65</v>
      </c>
      <c r="N260">
        <v>315</v>
      </c>
      <c r="O260">
        <v>64</v>
      </c>
      <c r="P260" t="s">
        <v>25</v>
      </c>
      <c r="Q260">
        <v>2834615</v>
      </c>
      <c r="R260" t="s">
        <v>49</v>
      </c>
      <c r="S260" t="s">
        <v>27</v>
      </c>
      <c r="T260" t="s">
        <v>34</v>
      </c>
    </row>
    <row r="261" spans="1:20" x14ac:dyDescent="0.3">
      <c r="A261" t="s">
        <v>478</v>
      </c>
      <c r="B261" s="1">
        <v>45880</v>
      </c>
      <c r="C261" s="1" t="s">
        <v>1328</v>
      </c>
      <c r="D261" t="s">
        <v>342</v>
      </c>
      <c r="E261" t="s">
        <v>37</v>
      </c>
      <c r="F261" t="s">
        <v>22</v>
      </c>
      <c r="G261" t="s">
        <v>68</v>
      </c>
      <c r="H261" t="s">
        <v>31</v>
      </c>
      <c r="I261">
        <v>0</v>
      </c>
      <c r="J261">
        <v>0</v>
      </c>
      <c r="K261">
        <v>1658266</v>
      </c>
      <c r="L261">
        <v>0</v>
      </c>
      <c r="M261">
        <v>0</v>
      </c>
      <c r="N261">
        <v>585</v>
      </c>
      <c r="O261">
        <v>27</v>
      </c>
      <c r="P261" t="s">
        <v>25</v>
      </c>
      <c r="Q261">
        <v>752441</v>
      </c>
      <c r="R261" t="s">
        <v>26</v>
      </c>
      <c r="S261" t="s">
        <v>33</v>
      </c>
      <c r="T261" t="s">
        <v>28</v>
      </c>
    </row>
    <row r="262" spans="1:20" x14ac:dyDescent="0.3">
      <c r="A262" t="s">
        <v>479</v>
      </c>
      <c r="B262" s="1">
        <v>45826</v>
      </c>
      <c r="C262" s="1" t="s">
        <v>1326</v>
      </c>
      <c r="D262" t="s">
        <v>480</v>
      </c>
      <c r="E262" t="s">
        <v>48</v>
      </c>
      <c r="F262" t="s">
        <v>38</v>
      </c>
      <c r="G262" t="s">
        <v>39</v>
      </c>
      <c r="H262" t="s">
        <v>52</v>
      </c>
      <c r="I262">
        <v>0</v>
      </c>
      <c r="J262">
        <v>0</v>
      </c>
      <c r="K262">
        <v>0</v>
      </c>
      <c r="L262">
        <v>25078</v>
      </c>
      <c r="M262">
        <v>0</v>
      </c>
      <c r="N262">
        <v>750</v>
      </c>
      <c r="O262">
        <v>56</v>
      </c>
      <c r="P262" t="s">
        <v>32</v>
      </c>
      <c r="Q262">
        <v>334268</v>
      </c>
      <c r="R262" t="s">
        <v>26</v>
      </c>
      <c r="S262" t="s">
        <v>33</v>
      </c>
      <c r="T262" t="s">
        <v>60</v>
      </c>
    </row>
    <row r="263" spans="1:20" x14ac:dyDescent="0.3">
      <c r="A263" t="s">
        <v>481</v>
      </c>
      <c r="B263" s="1">
        <v>45664</v>
      </c>
      <c r="C263" s="1" t="s">
        <v>1321</v>
      </c>
      <c r="D263" t="s">
        <v>43</v>
      </c>
      <c r="E263" t="s">
        <v>48</v>
      </c>
      <c r="F263" t="s">
        <v>38</v>
      </c>
      <c r="G263" t="s">
        <v>23</v>
      </c>
      <c r="H263" t="s">
        <v>56</v>
      </c>
      <c r="I263">
        <v>186969</v>
      </c>
      <c r="J263">
        <v>0</v>
      </c>
      <c r="K263">
        <v>0</v>
      </c>
      <c r="L263">
        <v>0</v>
      </c>
      <c r="M263">
        <v>0</v>
      </c>
      <c r="N263">
        <v>549</v>
      </c>
      <c r="O263">
        <v>44</v>
      </c>
      <c r="P263" t="s">
        <v>32</v>
      </c>
      <c r="Q263">
        <v>1853532</v>
      </c>
      <c r="R263" t="s">
        <v>49</v>
      </c>
      <c r="S263" t="s">
        <v>27</v>
      </c>
      <c r="T263" t="s">
        <v>34</v>
      </c>
    </row>
    <row r="264" spans="1:20" x14ac:dyDescent="0.3">
      <c r="A264" t="s">
        <v>482</v>
      </c>
      <c r="B264" s="1">
        <v>45757</v>
      </c>
      <c r="C264" s="1" t="s">
        <v>1324</v>
      </c>
      <c r="D264" t="s">
        <v>104</v>
      </c>
      <c r="E264" t="s">
        <v>21</v>
      </c>
      <c r="F264" t="s">
        <v>38</v>
      </c>
      <c r="G264" t="s">
        <v>39</v>
      </c>
      <c r="H264" t="s">
        <v>56</v>
      </c>
      <c r="I264">
        <v>184215</v>
      </c>
      <c r="J264">
        <v>0</v>
      </c>
      <c r="K264">
        <v>0</v>
      </c>
      <c r="L264">
        <v>0</v>
      </c>
      <c r="M264">
        <v>0</v>
      </c>
      <c r="N264">
        <v>501</v>
      </c>
      <c r="O264">
        <v>65</v>
      </c>
      <c r="P264" t="s">
        <v>32</v>
      </c>
      <c r="Q264">
        <v>970267</v>
      </c>
      <c r="R264" t="s">
        <v>26</v>
      </c>
      <c r="S264" t="s">
        <v>27</v>
      </c>
      <c r="T264" t="s">
        <v>60</v>
      </c>
    </row>
    <row r="265" spans="1:20" x14ac:dyDescent="0.3">
      <c r="A265" t="s">
        <v>483</v>
      </c>
      <c r="B265" s="1">
        <v>45987</v>
      </c>
      <c r="C265" s="1" t="s">
        <v>1331</v>
      </c>
      <c r="D265" t="s">
        <v>43</v>
      </c>
      <c r="E265" t="s">
        <v>55</v>
      </c>
      <c r="F265" t="s">
        <v>44</v>
      </c>
      <c r="G265" t="s">
        <v>59</v>
      </c>
      <c r="H265" t="s">
        <v>40</v>
      </c>
      <c r="I265">
        <v>0</v>
      </c>
      <c r="J265">
        <v>44971</v>
      </c>
      <c r="K265">
        <v>0</v>
      </c>
      <c r="L265">
        <v>0</v>
      </c>
      <c r="M265">
        <v>0</v>
      </c>
      <c r="N265">
        <v>518</v>
      </c>
      <c r="O265">
        <v>30</v>
      </c>
      <c r="P265" t="s">
        <v>25</v>
      </c>
      <c r="Q265">
        <v>722148</v>
      </c>
      <c r="R265" t="s">
        <v>49</v>
      </c>
      <c r="S265" t="s">
        <v>27</v>
      </c>
      <c r="T265" t="s">
        <v>28</v>
      </c>
    </row>
    <row r="266" spans="1:20" x14ac:dyDescent="0.3">
      <c r="A266" t="s">
        <v>484</v>
      </c>
      <c r="B266" s="1">
        <v>46011</v>
      </c>
      <c r="C266" s="1" t="s">
        <v>1332</v>
      </c>
      <c r="D266" t="s">
        <v>445</v>
      </c>
      <c r="E266" t="s">
        <v>21</v>
      </c>
      <c r="F266" t="s">
        <v>64</v>
      </c>
      <c r="G266" t="s">
        <v>59</v>
      </c>
      <c r="H266" t="s">
        <v>52</v>
      </c>
      <c r="I266">
        <v>0</v>
      </c>
      <c r="J266">
        <v>0</v>
      </c>
      <c r="K266">
        <v>0</v>
      </c>
      <c r="L266">
        <v>6857</v>
      </c>
      <c r="M266">
        <v>0</v>
      </c>
      <c r="N266">
        <v>841</v>
      </c>
      <c r="O266">
        <v>26</v>
      </c>
      <c r="P266" t="s">
        <v>32</v>
      </c>
      <c r="Q266">
        <v>2634171</v>
      </c>
      <c r="R266" t="s">
        <v>26</v>
      </c>
      <c r="S266" t="s">
        <v>74</v>
      </c>
      <c r="T266" t="s">
        <v>34</v>
      </c>
    </row>
    <row r="267" spans="1:20" x14ac:dyDescent="0.3">
      <c r="A267" t="s">
        <v>485</v>
      </c>
      <c r="B267" s="1">
        <v>45662</v>
      </c>
      <c r="C267" s="1" t="s">
        <v>1321</v>
      </c>
      <c r="D267" t="s">
        <v>486</v>
      </c>
      <c r="E267" t="s">
        <v>63</v>
      </c>
      <c r="F267" t="s">
        <v>64</v>
      </c>
      <c r="G267" t="s">
        <v>39</v>
      </c>
      <c r="H267" t="s">
        <v>24</v>
      </c>
      <c r="I267">
        <v>0</v>
      </c>
      <c r="J267">
        <v>0</v>
      </c>
      <c r="K267">
        <v>0</v>
      </c>
      <c r="L267">
        <v>0</v>
      </c>
      <c r="M267">
        <v>9399.5300000000007</v>
      </c>
      <c r="N267">
        <v>584</v>
      </c>
      <c r="O267">
        <v>28</v>
      </c>
      <c r="P267" t="s">
        <v>25</v>
      </c>
      <c r="Q267">
        <v>1256953</v>
      </c>
      <c r="R267" t="s">
        <v>49</v>
      </c>
      <c r="S267" t="s">
        <v>27</v>
      </c>
      <c r="T267" t="s">
        <v>45</v>
      </c>
    </row>
    <row r="268" spans="1:20" x14ac:dyDescent="0.3">
      <c r="A268" t="s">
        <v>487</v>
      </c>
      <c r="B268" s="1">
        <v>45942</v>
      </c>
      <c r="C268" s="1" t="s">
        <v>1330</v>
      </c>
      <c r="D268" t="s">
        <v>488</v>
      </c>
      <c r="E268" t="s">
        <v>21</v>
      </c>
      <c r="F268" t="s">
        <v>44</v>
      </c>
      <c r="G268" t="s">
        <v>68</v>
      </c>
      <c r="H268" t="s">
        <v>24</v>
      </c>
      <c r="I268">
        <v>0</v>
      </c>
      <c r="J268">
        <v>0</v>
      </c>
      <c r="K268">
        <v>0</v>
      </c>
      <c r="L268">
        <v>0</v>
      </c>
      <c r="M268">
        <v>8460.31</v>
      </c>
      <c r="N268">
        <v>787</v>
      </c>
      <c r="O268">
        <v>39</v>
      </c>
      <c r="P268" t="s">
        <v>25</v>
      </c>
      <c r="Q268">
        <v>1883358</v>
      </c>
      <c r="R268" t="s">
        <v>26</v>
      </c>
      <c r="S268" t="s">
        <v>27</v>
      </c>
      <c r="T268" t="s">
        <v>28</v>
      </c>
    </row>
    <row r="269" spans="1:20" x14ac:dyDescent="0.3">
      <c r="A269" t="s">
        <v>489</v>
      </c>
      <c r="B269" s="1">
        <v>46014</v>
      </c>
      <c r="C269" s="1" t="s">
        <v>1332</v>
      </c>
      <c r="D269" t="s">
        <v>490</v>
      </c>
      <c r="E269" t="s">
        <v>37</v>
      </c>
      <c r="F269" t="s">
        <v>21</v>
      </c>
      <c r="G269" t="s">
        <v>39</v>
      </c>
      <c r="H269" t="s">
        <v>56</v>
      </c>
      <c r="I269">
        <v>43072</v>
      </c>
      <c r="J269">
        <v>0</v>
      </c>
      <c r="K269">
        <v>0</v>
      </c>
      <c r="L269">
        <v>0</v>
      </c>
      <c r="M269">
        <v>0</v>
      </c>
      <c r="N269">
        <v>594</v>
      </c>
      <c r="O269">
        <v>52</v>
      </c>
      <c r="P269" t="s">
        <v>32</v>
      </c>
      <c r="Q269">
        <v>1816814</v>
      </c>
      <c r="R269" t="s">
        <v>49</v>
      </c>
      <c r="S269" t="s">
        <v>27</v>
      </c>
      <c r="T269" t="s">
        <v>28</v>
      </c>
    </row>
    <row r="270" spans="1:20" x14ac:dyDescent="0.3">
      <c r="A270" t="s">
        <v>491</v>
      </c>
      <c r="B270" s="1">
        <v>45809</v>
      </c>
      <c r="C270" s="1" t="s">
        <v>1326</v>
      </c>
      <c r="D270" t="s">
        <v>256</v>
      </c>
      <c r="E270" t="s">
        <v>63</v>
      </c>
      <c r="F270" t="s">
        <v>64</v>
      </c>
      <c r="G270" t="s">
        <v>23</v>
      </c>
      <c r="H270" t="s">
        <v>56</v>
      </c>
      <c r="I270">
        <v>174883</v>
      </c>
      <c r="J270">
        <v>0</v>
      </c>
      <c r="K270">
        <v>0</v>
      </c>
      <c r="L270">
        <v>0</v>
      </c>
      <c r="M270">
        <v>0</v>
      </c>
      <c r="N270">
        <v>651</v>
      </c>
      <c r="O270">
        <v>42</v>
      </c>
      <c r="P270" t="s">
        <v>32</v>
      </c>
      <c r="Q270">
        <v>1886123</v>
      </c>
      <c r="R270" t="s">
        <v>49</v>
      </c>
      <c r="S270" t="s">
        <v>27</v>
      </c>
      <c r="T270" t="s">
        <v>45</v>
      </c>
    </row>
    <row r="271" spans="1:20" x14ac:dyDescent="0.3">
      <c r="A271" t="s">
        <v>492</v>
      </c>
      <c r="B271" s="1">
        <v>45931</v>
      </c>
      <c r="C271" s="1" t="s">
        <v>1330</v>
      </c>
      <c r="D271" t="s">
        <v>493</v>
      </c>
      <c r="E271" t="s">
        <v>63</v>
      </c>
      <c r="F271" t="s">
        <v>21</v>
      </c>
      <c r="G271" t="s">
        <v>59</v>
      </c>
      <c r="H271" t="s">
        <v>56</v>
      </c>
      <c r="I271">
        <v>5837</v>
      </c>
      <c r="J271">
        <v>0</v>
      </c>
      <c r="K271">
        <v>0</v>
      </c>
      <c r="L271">
        <v>0</v>
      </c>
      <c r="M271">
        <v>0</v>
      </c>
      <c r="N271">
        <v>609</v>
      </c>
      <c r="O271">
        <v>18</v>
      </c>
      <c r="P271" t="s">
        <v>32</v>
      </c>
      <c r="Q271">
        <v>1549246</v>
      </c>
      <c r="R271" t="s">
        <v>49</v>
      </c>
      <c r="S271" t="s">
        <v>27</v>
      </c>
      <c r="T271" t="s">
        <v>41</v>
      </c>
    </row>
    <row r="272" spans="1:20" x14ac:dyDescent="0.3">
      <c r="A272" t="s">
        <v>494</v>
      </c>
      <c r="B272" s="1">
        <v>45778</v>
      </c>
      <c r="C272" s="1" t="s">
        <v>1325</v>
      </c>
      <c r="D272" t="s">
        <v>495</v>
      </c>
      <c r="E272" t="s">
        <v>48</v>
      </c>
      <c r="F272" t="s">
        <v>22</v>
      </c>
      <c r="G272" t="s">
        <v>39</v>
      </c>
      <c r="H272" t="s">
        <v>40</v>
      </c>
      <c r="I272">
        <v>0</v>
      </c>
      <c r="J272">
        <v>3222</v>
      </c>
      <c r="K272">
        <v>0</v>
      </c>
      <c r="L272">
        <v>0</v>
      </c>
      <c r="M272">
        <v>0</v>
      </c>
      <c r="N272">
        <v>563</v>
      </c>
      <c r="O272">
        <v>40</v>
      </c>
      <c r="P272" t="s">
        <v>32</v>
      </c>
      <c r="Q272">
        <v>218142</v>
      </c>
      <c r="R272" t="s">
        <v>49</v>
      </c>
      <c r="S272" t="s">
        <v>27</v>
      </c>
      <c r="T272" t="s">
        <v>60</v>
      </c>
    </row>
    <row r="273" spans="1:20" x14ac:dyDescent="0.3">
      <c r="A273" t="s">
        <v>496</v>
      </c>
      <c r="B273" s="1">
        <v>45798</v>
      </c>
      <c r="C273" s="1" t="s">
        <v>1325</v>
      </c>
      <c r="D273" t="s">
        <v>445</v>
      </c>
      <c r="E273" t="s">
        <v>48</v>
      </c>
      <c r="F273" t="s">
        <v>38</v>
      </c>
      <c r="G273" t="s">
        <v>39</v>
      </c>
      <c r="H273" t="s">
        <v>24</v>
      </c>
      <c r="I273">
        <v>0</v>
      </c>
      <c r="J273">
        <v>0</v>
      </c>
      <c r="K273">
        <v>0</v>
      </c>
      <c r="L273">
        <v>0</v>
      </c>
      <c r="M273">
        <v>7536.04</v>
      </c>
      <c r="N273">
        <v>363</v>
      </c>
      <c r="O273">
        <v>49</v>
      </c>
      <c r="P273" t="s">
        <v>32</v>
      </c>
      <c r="Q273">
        <v>2695473</v>
      </c>
      <c r="R273" t="s">
        <v>26</v>
      </c>
      <c r="S273" t="s">
        <v>27</v>
      </c>
      <c r="T273" t="s">
        <v>41</v>
      </c>
    </row>
    <row r="274" spans="1:20" x14ac:dyDescent="0.3">
      <c r="A274" t="s">
        <v>497</v>
      </c>
      <c r="B274" s="1">
        <v>45894</v>
      </c>
      <c r="C274" s="1" t="s">
        <v>1328</v>
      </c>
      <c r="D274" t="s">
        <v>217</v>
      </c>
      <c r="E274" t="s">
        <v>63</v>
      </c>
      <c r="F274" t="s">
        <v>22</v>
      </c>
      <c r="G274" t="s">
        <v>68</v>
      </c>
      <c r="H274" t="s">
        <v>56</v>
      </c>
      <c r="I274">
        <v>31197</v>
      </c>
      <c r="J274">
        <v>0</v>
      </c>
      <c r="K274">
        <v>0</v>
      </c>
      <c r="L274">
        <v>0</v>
      </c>
      <c r="M274">
        <v>0</v>
      </c>
      <c r="N274">
        <v>529</v>
      </c>
      <c r="O274">
        <v>58</v>
      </c>
      <c r="P274" t="s">
        <v>25</v>
      </c>
      <c r="Q274">
        <v>2408392</v>
      </c>
      <c r="R274" t="s">
        <v>26</v>
      </c>
      <c r="S274" t="s">
        <v>27</v>
      </c>
      <c r="T274" t="s">
        <v>28</v>
      </c>
    </row>
    <row r="275" spans="1:20" x14ac:dyDescent="0.3">
      <c r="A275" t="s">
        <v>498</v>
      </c>
      <c r="B275" s="1">
        <v>45903</v>
      </c>
      <c r="C275" s="1" t="s">
        <v>1329</v>
      </c>
      <c r="D275" t="s">
        <v>499</v>
      </c>
      <c r="E275" t="s">
        <v>37</v>
      </c>
      <c r="F275" t="s">
        <v>22</v>
      </c>
      <c r="G275" t="s">
        <v>23</v>
      </c>
      <c r="H275" t="s">
        <v>24</v>
      </c>
      <c r="I275">
        <v>0</v>
      </c>
      <c r="J275">
        <v>0</v>
      </c>
      <c r="K275">
        <v>0</v>
      </c>
      <c r="L275">
        <v>0</v>
      </c>
      <c r="M275">
        <v>827.94</v>
      </c>
      <c r="N275">
        <v>879</v>
      </c>
      <c r="O275">
        <v>50</v>
      </c>
      <c r="P275" t="s">
        <v>25</v>
      </c>
      <c r="Q275">
        <v>1385756</v>
      </c>
      <c r="R275" t="s">
        <v>26</v>
      </c>
      <c r="S275" t="s">
        <v>27</v>
      </c>
      <c r="T275" t="s">
        <v>60</v>
      </c>
    </row>
    <row r="276" spans="1:20" x14ac:dyDescent="0.3">
      <c r="A276" t="s">
        <v>500</v>
      </c>
      <c r="B276" s="1">
        <v>45806</v>
      </c>
      <c r="C276" s="1" t="s">
        <v>1325</v>
      </c>
      <c r="D276" t="s">
        <v>179</v>
      </c>
      <c r="E276" t="s">
        <v>37</v>
      </c>
      <c r="F276" t="s">
        <v>44</v>
      </c>
      <c r="G276" t="s">
        <v>39</v>
      </c>
      <c r="H276" t="s">
        <v>56</v>
      </c>
      <c r="I276">
        <v>111738</v>
      </c>
      <c r="J276">
        <v>0</v>
      </c>
      <c r="K276">
        <v>0</v>
      </c>
      <c r="L276">
        <v>0</v>
      </c>
      <c r="M276">
        <v>0</v>
      </c>
      <c r="N276">
        <v>537</v>
      </c>
      <c r="O276">
        <v>66</v>
      </c>
      <c r="P276" t="s">
        <v>25</v>
      </c>
      <c r="Q276">
        <f>MEDIAN(201200,3000000)</f>
        <v>1600600</v>
      </c>
      <c r="R276" t="s">
        <v>26</v>
      </c>
      <c r="S276" t="s">
        <v>27</v>
      </c>
      <c r="T276" t="s">
        <v>34</v>
      </c>
    </row>
    <row r="277" spans="1:20" x14ac:dyDescent="0.3">
      <c r="A277" t="s">
        <v>501</v>
      </c>
      <c r="B277" s="1">
        <v>45804</v>
      </c>
      <c r="C277" s="1" t="s">
        <v>1325</v>
      </c>
      <c r="D277" t="s">
        <v>502</v>
      </c>
      <c r="E277" t="s">
        <v>63</v>
      </c>
      <c r="F277" t="s">
        <v>44</v>
      </c>
      <c r="G277" t="s">
        <v>59</v>
      </c>
      <c r="H277" t="s">
        <v>24</v>
      </c>
      <c r="I277">
        <v>0</v>
      </c>
      <c r="J277">
        <v>0</v>
      </c>
      <c r="K277">
        <v>0</v>
      </c>
      <c r="L277">
        <v>0</v>
      </c>
      <c r="M277">
        <v>3145.01</v>
      </c>
      <c r="N277">
        <v>467</v>
      </c>
      <c r="O277">
        <v>50</v>
      </c>
      <c r="P277" t="s">
        <v>25</v>
      </c>
      <c r="Q277">
        <v>2586272</v>
      </c>
      <c r="R277" t="s">
        <v>26</v>
      </c>
      <c r="S277" t="s">
        <v>27</v>
      </c>
      <c r="T277" t="s">
        <v>34</v>
      </c>
    </row>
    <row r="278" spans="1:20" x14ac:dyDescent="0.3">
      <c r="A278" t="s">
        <v>503</v>
      </c>
      <c r="B278" s="1">
        <v>46006</v>
      </c>
      <c r="C278" s="1" t="s">
        <v>1332</v>
      </c>
      <c r="D278" t="s">
        <v>76</v>
      </c>
      <c r="E278" t="s">
        <v>63</v>
      </c>
      <c r="F278" t="s">
        <v>44</v>
      </c>
      <c r="G278" t="s">
        <v>68</v>
      </c>
      <c r="H278" t="s">
        <v>40</v>
      </c>
      <c r="I278">
        <v>0</v>
      </c>
      <c r="J278">
        <v>18245</v>
      </c>
      <c r="K278">
        <v>0</v>
      </c>
      <c r="L278">
        <v>0</v>
      </c>
      <c r="M278">
        <v>0</v>
      </c>
      <c r="N278">
        <v>324</v>
      </c>
      <c r="O278">
        <v>69</v>
      </c>
      <c r="P278" t="s">
        <v>25</v>
      </c>
      <c r="Q278">
        <v>817502</v>
      </c>
      <c r="R278" t="s">
        <v>49</v>
      </c>
      <c r="S278" t="s">
        <v>27</v>
      </c>
      <c r="T278" t="s">
        <v>34</v>
      </c>
    </row>
    <row r="279" spans="1:20" x14ac:dyDescent="0.3">
      <c r="A279" t="s">
        <v>504</v>
      </c>
      <c r="B279" s="1">
        <v>45932</v>
      </c>
      <c r="C279" s="1" t="s">
        <v>1330</v>
      </c>
      <c r="D279" t="s">
        <v>505</v>
      </c>
      <c r="E279" t="s">
        <v>37</v>
      </c>
      <c r="F279" t="s">
        <v>38</v>
      </c>
      <c r="G279" t="s">
        <v>23</v>
      </c>
      <c r="H279" t="s">
        <v>31</v>
      </c>
      <c r="I279">
        <v>0</v>
      </c>
      <c r="J279">
        <v>0</v>
      </c>
      <c r="K279">
        <v>1288338</v>
      </c>
      <c r="L279">
        <v>0</v>
      </c>
      <c r="M279">
        <v>0</v>
      </c>
      <c r="N279">
        <v>696</v>
      </c>
      <c r="O279">
        <v>58</v>
      </c>
      <c r="P279" t="s">
        <v>32</v>
      </c>
      <c r="Q279">
        <v>2819987</v>
      </c>
      <c r="R279" t="s">
        <v>49</v>
      </c>
      <c r="S279" t="s">
        <v>33</v>
      </c>
      <c r="T279" t="s">
        <v>41</v>
      </c>
    </row>
    <row r="280" spans="1:20" x14ac:dyDescent="0.3">
      <c r="A280" t="s">
        <v>506</v>
      </c>
      <c r="B280" s="1">
        <v>45763</v>
      </c>
      <c r="C280" s="1" t="s">
        <v>1324</v>
      </c>
      <c r="D280" t="s">
        <v>20</v>
      </c>
      <c r="E280" t="s">
        <v>55</v>
      </c>
      <c r="F280" t="s">
        <v>21</v>
      </c>
      <c r="G280" t="s">
        <v>59</v>
      </c>
      <c r="H280" t="s">
        <v>52</v>
      </c>
      <c r="I280">
        <v>0</v>
      </c>
      <c r="J280">
        <v>0</v>
      </c>
      <c r="K280">
        <v>0</v>
      </c>
      <c r="L280">
        <v>27193</v>
      </c>
      <c r="M280">
        <v>0</v>
      </c>
      <c r="N280">
        <v>430</v>
      </c>
      <c r="O280">
        <v>52</v>
      </c>
      <c r="P280" t="s">
        <v>25</v>
      </c>
      <c r="Q280">
        <v>1253345</v>
      </c>
      <c r="R280" t="s">
        <v>26</v>
      </c>
      <c r="S280" t="s">
        <v>74</v>
      </c>
      <c r="T280" t="s">
        <v>34</v>
      </c>
    </row>
    <row r="281" spans="1:20" x14ac:dyDescent="0.3">
      <c r="A281" t="s">
        <v>507</v>
      </c>
      <c r="B281" s="1">
        <v>45675</v>
      </c>
      <c r="C281" s="1" t="s">
        <v>1321</v>
      </c>
      <c r="D281" t="s">
        <v>342</v>
      </c>
      <c r="E281" t="s">
        <v>37</v>
      </c>
      <c r="F281" t="s">
        <v>38</v>
      </c>
      <c r="G281" t="s">
        <v>59</v>
      </c>
      <c r="H281" t="s">
        <v>31</v>
      </c>
      <c r="I281">
        <v>0</v>
      </c>
      <c r="J281">
        <v>0</v>
      </c>
      <c r="K281">
        <v>996719</v>
      </c>
      <c r="L281">
        <v>0</v>
      </c>
      <c r="M281">
        <v>0</v>
      </c>
      <c r="N281">
        <v>536</v>
      </c>
      <c r="O281">
        <v>38</v>
      </c>
      <c r="P281" t="s">
        <v>25</v>
      </c>
      <c r="Q281">
        <v>695728</v>
      </c>
      <c r="R281" t="s">
        <v>26</v>
      </c>
      <c r="S281" t="s">
        <v>33</v>
      </c>
      <c r="T281" t="s">
        <v>60</v>
      </c>
    </row>
    <row r="282" spans="1:20" x14ac:dyDescent="0.3">
      <c r="A282" t="s">
        <v>508</v>
      </c>
      <c r="B282" s="1">
        <v>45760</v>
      </c>
      <c r="C282" s="1" t="s">
        <v>1324</v>
      </c>
      <c r="D282" t="s">
        <v>509</v>
      </c>
      <c r="E282" t="s">
        <v>63</v>
      </c>
      <c r="F282" t="s">
        <v>44</v>
      </c>
      <c r="G282" t="s">
        <v>68</v>
      </c>
      <c r="H282" t="s">
        <v>31</v>
      </c>
      <c r="I282">
        <v>0</v>
      </c>
      <c r="J282">
        <v>0</v>
      </c>
      <c r="K282">
        <v>1211232</v>
      </c>
      <c r="L282">
        <v>0</v>
      </c>
      <c r="M282">
        <v>0</v>
      </c>
      <c r="N282">
        <v>392</v>
      </c>
      <c r="O282">
        <v>67</v>
      </c>
      <c r="P282" t="s">
        <v>32</v>
      </c>
      <c r="Q282">
        <v>808796</v>
      </c>
      <c r="R282" t="s">
        <v>26</v>
      </c>
      <c r="S282" t="s">
        <v>65</v>
      </c>
      <c r="T282" t="s">
        <v>34</v>
      </c>
    </row>
    <row r="283" spans="1:20" x14ac:dyDescent="0.3">
      <c r="A283" t="s">
        <v>510</v>
      </c>
      <c r="B283" s="1">
        <v>45921</v>
      </c>
      <c r="C283" s="1" t="s">
        <v>1329</v>
      </c>
      <c r="D283" t="s">
        <v>511</v>
      </c>
      <c r="E283" t="s">
        <v>21</v>
      </c>
      <c r="F283" t="s">
        <v>22</v>
      </c>
      <c r="G283" t="s">
        <v>59</v>
      </c>
      <c r="H283" t="s">
        <v>40</v>
      </c>
      <c r="I283">
        <v>0</v>
      </c>
      <c r="J283">
        <v>82406</v>
      </c>
      <c r="K283">
        <v>0</v>
      </c>
      <c r="L283">
        <v>0</v>
      </c>
      <c r="M283">
        <v>0</v>
      </c>
      <c r="N283">
        <v>822</v>
      </c>
      <c r="O283">
        <v>20</v>
      </c>
      <c r="P283" t="s">
        <v>25</v>
      </c>
      <c r="Q283">
        <v>1682032</v>
      </c>
      <c r="R283" t="s">
        <v>26</v>
      </c>
      <c r="S283" t="s">
        <v>27</v>
      </c>
      <c r="T283" t="s">
        <v>41</v>
      </c>
    </row>
    <row r="284" spans="1:20" x14ac:dyDescent="0.3">
      <c r="A284" t="s">
        <v>512</v>
      </c>
      <c r="B284" s="1">
        <v>45976</v>
      </c>
      <c r="C284" s="1" t="s">
        <v>1331</v>
      </c>
      <c r="D284" t="s">
        <v>217</v>
      </c>
      <c r="E284" t="s">
        <v>21</v>
      </c>
      <c r="F284" t="s">
        <v>38</v>
      </c>
      <c r="G284" t="s">
        <v>39</v>
      </c>
      <c r="H284" t="s">
        <v>40</v>
      </c>
      <c r="I284">
        <v>0</v>
      </c>
      <c r="J284">
        <v>25121</v>
      </c>
      <c r="K284">
        <v>0</v>
      </c>
      <c r="L284">
        <v>0</v>
      </c>
      <c r="M284">
        <v>0</v>
      </c>
      <c r="N284">
        <f>MEDIAN(314,875)</f>
        <v>594.5</v>
      </c>
      <c r="O284">
        <v>31</v>
      </c>
      <c r="P284" t="s">
        <v>32</v>
      </c>
      <c r="Q284">
        <v>1203206</v>
      </c>
      <c r="R284" t="s">
        <v>49</v>
      </c>
      <c r="S284" t="s">
        <v>27</v>
      </c>
      <c r="T284" t="s">
        <v>34</v>
      </c>
    </row>
    <row r="285" spans="1:20" x14ac:dyDescent="0.3">
      <c r="A285" t="s">
        <v>513</v>
      </c>
      <c r="B285" s="1">
        <v>45902</v>
      </c>
      <c r="C285" s="1" t="s">
        <v>1329</v>
      </c>
      <c r="D285" t="s">
        <v>276</v>
      </c>
      <c r="E285" t="s">
        <v>77</v>
      </c>
      <c r="F285" t="s">
        <v>22</v>
      </c>
      <c r="G285" t="s">
        <v>39</v>
      </c>
      <c r="H285" t="s">
        <v>40</v>
      </c>
      <c r="I285">
        <v>0</v>
      </c>
      <c r="J285">
        <v>76564</v>
      </c>
      <c r="K285">
        <v>0</v>
      </c>
      <c r="L285">
        <v>0</v>
      </c>
      <c r="M285">
        <v>0</v>
      </c>
      <c r="N285">
        <v>308</v>
      </c>
      <c r="O285">
        <v>28</v>
      </c>
      <c r="P285" t="s">
        <v>25</v>
      </c>
      <c r="Q285">
        <v>2849050</v>
      </c>
      <c r="R285" t="s">
        <v>26</v>
      </c>
      <c r="S285" t="s">
        <v>27</v>
      </c>
      <c r="T285" t="s">
        <v>28</v>
      </c>
    </row>
    <row r="286" spans="1:20" x14ac:dyDescent="0.3">
      <c r="A286" t="s">
        <v>514</v>
      </c>
      <c r="B286" s="1">
        <v>45800</v>
      </c>
      <c r="C286" s="1" t="s">
        <v>1325</v>
      </c>
      <c r="D286" t="s">
        <v>62</v>
      </c>
      <c r="E286" t="s">
        <v>21</v>
      </c>
      <c r="F286" t="s">
        <v>21</v>
      </c>
      <c r="G286" t="s">
        <v>23</v>
      </c>
      <c r="H286" t="s">
        <v>40</v>
      </c>
      <c r="I286">
        <v>0</v>
      </c>
      <c r="J286">
        <v>7244</v>
      </c>
      <c r="K286">
        <v>0</v>
      </c>
      <c r="L286">
        <v>0</v>
      </c>
      <c r="M286">
        <v>0</v>
      </c>
      <c r="N286">
        <v>709</v>
      </c>
      <c r="O286">
        <v>53</v>
      </c>
      <c r="P286" t="s">
        <v>32</v>
      </c>
      <c r="Q286">
        <v>562589</v>
      </c>
      <c r="R286" t="s">
        <v>49</v>
      </c>
      <c r="S286" t="s">
        <v>27</v>
      </c>
      <c r="T286" t="s">
        <v>34</v>
      </c>
    </row>
    <row r="287" spans="1:20" x14ac:dyDescent="0.3">
      <c r="A287" t="s">
        <v>515</v>
      </c>
      <c r="B287" s="1">
        <v>45814</v>
      </c>
      <c r="C287" s="1" t="s">
        <v>1326</v>
      </c>
      <c r="D287" t="s">
        <v>499</v>
      </c>
      <c r="E287" t="s">
        <v>55</v>
      </c>
      <c r="F287" t="s">
        <v>21</v>
      </c>
      <c r="G287" t="s">
        <v>68</v>
      </c>
      <c r="H287" t="s">
        <v>52</v>
      </c>
      <c r="I287">
        <v>0</v>
      </c>
      <c r="J287">
        <v>0</v>
      </c>
      <c r="K287">
        <v>0</v>
      </c>
      <c r="L287">
        <v>30178</v>
      </c>
      <c r="M287">
        <v>0</v>
      </c>
      <c r="N287">
        <v>409</v>
      </c>
      <c r="O287">
        <v>26</v>
      </c>
      <c r="P287" t="s">
        <v>32</v>
      </c>
      <c r="Q287">
        <f>MEDIAN(201200,3000000)</f>
        <v>1600600</v>
      </c>
      <c r="R287" t="s">
        <v>26</v>
      </c>
      <c r="S287" t="s">
        <v>74</v>
      </c>
      <c r="T287" t="s">
        <v>28</v>
      </c>
    </row>
    <row r="288" spans="1:20" x14ac:dyDescent="0.3">
      <c r="A288" t="s">
        <v>516</v>
      </c>
      <c r="B288" s="1">
        <v>45711</v>
      </c>
      <c r="C288" s="1" t="s">
        <v>1322</v>
      </c>
      <c r="D288" t="s">
        <v>138</v>
      </c>
      <c r="E288" t="s">
        <v>21</v>
      </c>
      <c r="F288" t="s">
        <v>21</v>
      </c>
      <c r="G288" t="s">
        <v>39</v>
      </c>
      <c r="H288" t="s">
        <v>24</v>
      </c>
      <c r="I288">
        <v>0</v>
      </c>
      <c r="J288">
        <v>0</v>
      </c>
      <c r="K288">
        <v>0</v>
      </c>
      <c r="L288">
        <v>0</v>
      </c>
      <c r="M288">
        <v>884.52</v>
      </c>
      <c r="N288">
        <v>446</v>
      </c>
      <c r="O288">
        <v>56</v>
      </c>
      <c r="P288" t="s">
        <v>25</v>
      </c>
      <c r="Q288">
        <v>1420621</v>
      </c>
      <c r="R288" t="s">
        <v>26</v>
      </c>
      <c r="S288" t="s">
        <v>27</v>
      </c>
      <c r="T288" t="s">
        <v>45</v>
      </c>
    </row>
    <row r="289" spans="1:20" x14ac:dyDescent="0.3">
      <c r="A289" t="s">
        <v>517</v>
      </c>
      <c r="B289" s="1">
        <v>45726</v>
      </c>
      <c r="C289" s="1" t="s">
        <v>1323</v>
      </c>
      <c r="D289" t="s">
        <v>518</v>
      </c>
      <c r="E289" t="s">
        <v>55</v>
      </c>
      <c r="F289" t="s">
        <v>44</v>
      </c>
      <c r="G289" t="s">
        <v>39</v>
      </c>
      <c r="H289" t="s">
        <v>56</v>
      </c>
      <c r="I289">
        <v>82665</v>
      </c>
      <c r="J289">
        <v>0</v>
      </c>
      <c r="K289">
        <v>0</v>
      </c>
      <c r="L289">
        <v>0</v>
      </c>
      <c r="M289">
        <v>0</v>
      </c>
      <c r="N289">
        <v>768</v>
      </c>
      <c r="O289">
        <v>63</v>
      </c>
      <c r="P289" t="s">
        <v>25</v>
      </c>
      <c r="Q289">
        <v>2373237</v>
      </c>
      <c r="R289" t="s">
        <v>26</v>
      </c>
      <c r="S289" t="s">
        <v>27</v>
      </c>
      <c r="T289" t="s">
        <v>28</v>
      </c>
    </row>
    <row r="290" spans="1:20" x14ac:dyDescent="0.3">
      <c r="A290" t="s">
        <v>519</v>
      </c>
      <c r="B290" s="1">
        <v>45899</v>
      </c>
      <c r="C290" s="1" t="s">
        <v>1328</v>
      </c>
      <c r="D290" t="s">
        <v>80</v>
      </c>
      <c r="E290" t="s">
        <v>63</v>
      </c>
      <c r="F290" t="s">
        <v>22</v>
      </c>
      <c r="G290" t="s">
        <v>59</v>
      </c>
      <c r="H290" t="s">
        <v>56</v>
      </c>
      <c r="I290">
        <v>22932</v>
      </c>
      <c r="J290">
        <v>0</v>
      </c>
      <c r="K290">
        <v>0</v>
      </c>
      <c r="L290">
        <v>0</v>
      </c>
      <c r="M290">
        <v>0</v>
      </c>
      <c r="N290">
        <v>680</v>
      </c>
      <c r="O290">
        <v>42</v>
      </c>
      <c r="P290" t="s">
        <v>32</v>
      </c>
      <c r="Q290">
        <v>402718</v>
      </c>
      <c r="R290" t="s">
        <v>49</v>
      </c>
      <c r="S290" t="s">
        <v>27</v>
      </c>
      <c r="T290" t="s">
        <v>41</v>
      </c>
    </row>
    <row r="291" spans="1:20" x14ac:dyDescent="0.3">
      <c r="A291" t="s">
        <v>520</v>
      </c>
      <c r="B291" s="1">
        <v>45701</v>
      </c>
      <c r="C291" s="1" t="s">
        <v>1322</v>
      </c>
      <c r="D291" t="s">
        <v>521</v>
      </c>
      <c r="E291" t="s">
        <v>21</v>
      </c>
      <c r="F291" t="s">
        <v>64</v>
      </c>
      <c r="G291" t="s">
        <v>39</v>
      </c>
      <c r="H291" t="s">
        <v>40</v>
      </c>
      <c r="I291">
        <v>0</v>
      </c>
      <c r="J291">
        <v>82378</v>
      </c>
      <c r="K291">
        <v>0</v>
      </c>
      <c r="L291">
        <v>0</v>
      </c>
      <c r="M291">
        <v>0</v>
      </c>
      <c r="N291">
        <v>585</v>
      </c>
      <c r="O291">
        <v>43</v>
      </c>
      <c r="P291" t="s">
        <v>32</v>
      </c>
      <c r="Q291">
        <v>1574124</v>
      </c>
      <c r="R291" t="s">
        <v>26</v>
      </c>
      <c r="S291" t="s">
        <v>27</v>
      </c>
      <c r="T291" t="s">
        <v>45</v>
      </c>
    </row>
    <row r="292" spans="1:20" x14ac:dyDescent="0.3">
      <c r="A292" t="s">
        <v>522</v>
      </c>
      <c r="B292" s="1">
        <v>45727</v>
      </c>
      <c r="C292" s="1" t="s">
        <v>1323</v>
      </c>
      <c r="D292" t="s">
        <v>102</v>
      </c>
      <c r="E292" t="s">
        <v>37</v>
      </c>
      <c r="F292" t="s">
        <v>64</v>
      </c>
      <c r="G292" t="s">
        <v>68</v>
      </c>
      <c r="H292" t="s">
        <v>56</v>
      </c>
      <c r="I292">
        <v>139136</v>
      </c>
      <c r="J292">
        <v>0</v>
      </c>
      <c r="K292">
        <v>0</v>
      </c>
      <c r="L292">
        <v>0</v>
      </c>
      <c r="M292">
        <v>0</v>
      </c>
      <c r="N292">
        <v>610</v>
      </c>
      <c r="O292">
        <v>66</v>
      </c>
      <c r="P292" t="s">
        <v>25</v>
      </c>
      <c r="Q292">
        <v>2386293</v>
      </c>
      <c r="R292" t="s">
        <v>26</v>
      </c>
      <c r="S292" t="s">
        <v>27</v>
      </c>
      <c r="T292" t="s">
        <v>60</v>
      </c>
    </row>
    <row r="293" spans="1:20" x14ac:dyDescent="0.3">
      <c r="A293" t="s">
        <v>523</v>
      </c>
      <c r="B293" s="1">
        <v>45859</v>
      </c>
      <c r="C293" s="1" t="s">
        <v>1327</v>
      </c>
      <c r="D293" t="s">
        <v>524</v>
      </c>
      <c r="E293" t="s">
        <v>37</v>
      </c>
      <c r="F293" t="s">
        <v>38</v>
      </c>
      <c r="G293" t="s">
        <v>23</v>
      </c>
      <c r="H293" t="s">
        <v>56</v>
      </c>
      <c r="I293">
        <v>163837</v>
      </c>
      <c r="J293">
        <v>0</v>
      </c>
      <c r="K293">
        <v>0</v>
      </c>
      <c r="L293">
        <v>0</v>
      </c>
      <c r="M293">
        <v>0</v>
      </c>
      <c r="N293">
        <v>858</v>
      </c>
      <c r="O293">
        <v>68</v>
      </c>
      <c r="P293" t="s">
        <v>32</v>
      </c>
      <c r="Q293">
        <v>1444022</v>
      </c>
      <c r="R293" t="s">
        <v>49</v>
      </c>
      <c r="S293" t="s">
        <v>27</v>
      </c>
      <c r="T293" t="s">
        <v>28</v>
      </c>
    </row>
    <row r="294" spans="1:20" x14ac:dyDescent="0.3">
      <c r="A294" t="s">
        <v>525</v>
      </c>
      <c r="B294" s="1">
        <v>45786</v>
      </c>
      <c r="C294" s="1" t="s">
        <v>1325</v>
      </c>
      <c r="D294" t="s">
        <v>526</v>
      </c>
      <c r="E294" t="s">
        <v>63</v>
      </c>
      <c r="F294" t="s">
        <v>21</v>
      </c>
      <c r="G294" t="s">
        <v>68</v>
      </c>
      <c r="H294" t="s">
        <v>31</v>
      </c>
      <c r="I294">
        <v>0</v>
      </c>
      <c r="J294">
        <v>0</v>
      </c>
      <c r="K294">
        <v>434694</v>
      </c>
      <c r="L294">
        <v>0</v>
      </c>
      <c r="M294">
        <v>0</v>
      </c>
      <c r="N294">
        <v>337</v>
      </c>
      <c r="O294">
        <v>34</v>
      </c>
      <c r="P294" t="s">
        <v>25</v>
      </c>
      <c r="Q294">
        <v>1400484</v>
      </c>
      <c r="R294" t="s">
        <v>26</v>
      </c>
      <c r="S294" t="s">
        <v>65</v>
      </c>
      <c r="T294" t="s">
        <v>34</v>
      </c>
    </row>
    <row r="295" spans="1:20" x14ac:dyDescent="0.3">
      <c r="A295" t="s">
        <v>527</v>
      </c>
      <c r="B295" s="1">
        <v>45901</v>
      </c>
      <c r="C295" s="1" t="s">
        <v>1329</v>
      </c>
      <c r="D295" t="s">
        <v>452</v>
      </c>
      <c r="E295" t="s">
        <v>37</v>
      </c>
      <c r="F295" t="s">
        <v>64</v>
      </c>
      <c r="G295" t="s">
        <v>39</v>
      </c>
      <c r="H295" t="s">
        <v>56</v>
      </c>
      <c r="I295">
        <v>99795</v>
      </c>
      <c r="J295">
        <v>0</v>
      </c>
      <c r="K295">
        <v>0</v>
      </c>
      <c r="L295">
        <v>0</v>
      </c>
      <c r="M295">
        <v>0</v>
      </c>
      <c r="N295">
        <v>751</v>
      </c>
      <c r="O295">
        <v>25</v>
      </c>
      <c r="P295" t="s">
        <v>32</v>
      </c>
      <c r="Q295">
        <v>599106</v>
      </c>
      <c r="R295" t="s">
        <v>49</v>
      </c>
      <c r="S295" t="s">
        <v>27</v>
      </c>
      <c r="T295" t="s">
        <v>60</v>
      </c>
    </row>
    <row r="296" spans="1:20" x14ac:dyDescent="0.3">
      <c r="A296" t="s">
        <v>528</v>
      </c>
      <c r="B296" s="1">
        <v>45810</v>
      </c>
      <c r="C296" s="1" t="s">
        <v>1326</v>
      </c>
      <c r="D296" t="s">
        <v>219</v>
      </c>
      <c r="E296" t="s">
        <v>21</v>
      </c>
      <c r="F296" t="s">
        <v>44</v>
      </c>
      <c r="G296" t="s">
        <v>68</v>
      </c>
      <c r="H296" t="s">
        <v>31</v>
      </c>
      <c r="I296">
        <v>0</v>
      </c>
      <c r="J296">
        <v>0</v>
      </c>
      <c r="K296">
        <v>1547733</v>
      </c>
      <c r="L296">
        <v>0</v>
      </c>
      <c r="M296">
        <v>0</v>
      </c>
      <c r="N296">
        <v>574</v>
      </c>
      <c r="O296">
        <v>21</v>
      </c>
      <c r="P296" t="s">
        <v>25</v>
      </c>
      <c r="Q296">
        <v>1239610</v>
      </c>
      <c r="R296" t="s">
        <v>49</v>
      </c>
      <c r="S296" t="s">
        <v>33</v>
      </c>
      <c r="T296" t="s">
        <v>45</v>
      </c>
    </row>
    <row r="297" spans="1:20" x14ac:dyDescent="0.3">
      <c r="A297" t="s">
        <v>529</v>
      </c>
      <c r="B297" s="1">
        <v>45714</v>
      </c>
      <c r="C297" s="1" t="s">
        <v>1322</v>
      </c>
      <c r="D297" t="s">
        <v>486</v>
      </c>
      <c r="E297" t="s">
        <v>77</v>
      </c>
      <c r="F297" t="s">
        <v>21</v>
      </c>
      <c r="G297" t="s">
        <v>59</v>
      </c>
      <c r="H297" t="s">
        <v>31</v>
      </c>
      <c r="I297">
        <v>0</v>
      </c>
      <c r="J297">
        <v>0</v>
      </c>
      <c r="K297">
        <v>0</v>
      </c>
      <c r="L297">
        <v>0</v>
      </c>
      <c r="M297">
        <v>0</v>
      </c>
      <c r="N297">
        <v>663</v>
      </c>
      <c r="O297">
        <v>58</v>
      </c>
      <c r="P297" t="s">
        <v>32</v>
      </c>
      <c r="Q297">
        <v>2166630</v>
      </c>
      <c r="R297" t="s">
        <v>49</v>
      </c>
      <c r="S297" t="s">
        <v>65</v>
      </c>
      <c r="T297" t="s">
        <v>41</v>
      </c>
    </row>
    <row r="298" spans="1:20" x14ac:dyDescent="0.3">
      <c r="A298" t="s">
        <v>530</v>
      </c>
      <c r="B298" s="1">
        <v>45971</v>
      </c>
      <c r="C298" s="1" t="s">
        <v>1331</v>
      </c>
      <c r="D298" t="s">
        <v>531</v>
      </c>
      <c r="E298" t="s">
        <v>48</v>
      </c>
      <c r="F298" t="s">
        <v>21</v>
      </c>
      <c r="G298" t="s">
        <v>23</v>
      </c>
      <c r="H298" t="s">
        <v>56</v>
      </c>
      <c r="I298">
        <v>68960</v>
      </c>
      <c r="J298">
        <v>0</v>
      </c>
      <c r="K298">
        <v>0</v>
      </c>
      <c r="L298">
        <v>0</v>
      </c>
      <c r="M298">
        <v>0</v>
      </c>
      <c r="N298">
        <v>469</v>
      </c>
      <c r="O298">
        <v>55</v>
      </c>
      <c r="P298" t="s">
        <v>32</v>
      </c>
      <c r="Q298">
        <v>1973053</v>
      </c>
      <c r="R298" t="s">
        <v>26</v>
      </c>
      <c r="S298" t="s">
        <v>27</v>
      </c>
      <c r="T298" t="s">
        <v>60</v>
      </c>
    </row>
    <row r="299" spans="1:20" x14ac:dyDescent="0.3">
      <c r="A299" t="s">
        <v>532</v>
      </c>
      <c r="B299" s="1">
        <v>45680</v>
      </c>
      <c r="C299" s="1" t="s">
        <v>1321</v>
      </c>
      <c r="D299" t="s">
        <v>533</v>
      </c>
      <c r="E299" t="s">
        <v>55</v>
      </c>
      <c r="F299" t="s">
        <v>21</v>
      </c>
      <c r="G299" t="s">
        <v>23</v>
      </c>
      <c r="H299" t="s">
        <v>52</v>
      </c>
      <c r="I299">
        <v>0</v>
      </c>
      <c r="J299">
        <v>0</v>
      </c>
      <c r="K299">
        <v>0</v>
      </c>
      <c r="L299">
        <v>48993</v>
      </c>
      <c r="M299">
        <v>0</v>
      </c>
      <c r="N299">
        <v>406</v>
      </c>
      <c r="O299">
        <v>55</v>
      </c>
      <c r="P299" t="s">
        <v>25</v>
      </c>
      <c r="Q299">
        <v>607182</v>
      </c>
      <c r="R299" t="s">
        <v>49</v>
      </c>
      <c r="S299" t="s">
        <v>33</v>
      </c>
      <c r="T299" t="s">
        <v>41</v>
      </c>
    </row>
    <row r="300" spans="1:20" x14ac:dyDescent="0.3">
      <c r="A300" t="s">
        <v>534</v>
      </c>
      <c r="B300" s="1">
        <v>45908</v>
      </c>
      <c r="C300" s="1" t="s">
        <v>1329</v>
      </c>
      <c r="D300" t="s">
        <v>535</v>
      </c>
      <c r="E300" t="s">
        <v>48</v>
      </c>
      <c r="F300" t="s">
        <v>38</v>
      </c>
      <c r="G300" t="s">
        <v>23</v>
      </c>
      <c r="H300" t="s">
        <v>56</v>
      </c>
      <c r="I300">
        <v>143034</v>
      </c>
      <c r="J300">
        <v>0</v>
      </c>
      <c r="K300">
        <v>0</v>
      </c>
      <c r="L300">
        <v>0</v>
      </c>
      <c r="M300">
        <v>0</v>
      </c>
      <c r="N300">
        <v>854</v>
      </c>
      <c r="O300">
        <v>43</v>
      </c>
      <c r="P300" t="s">
        <v>25</v>
      </c>
      <c r="Q300">
        <v>1163539</v>
      </c>
      <c r="R300" t="s">
        <v>49</v>
      </c>
      <c r="S300" t="s">
        <v>27</v>
      </c>
      <c r="T300" t="s">
        <v>34</v>
      </c>
    </row>
    <row r="301" spans="1:20" x14ac:dyDescent="0.3">
      <c r="A301" t="s">
        <v>536</v>
      </c>
      <c r="B301" s="1">
        <v>46001</v>
      </c>
      <c r="C301" s="1" t="s">
        <v>1332</v>
      </c>
      <c r="D301" t="s">
        <v>537</v>
      </c>
      <c r="E301" t="s">
        <v>77</v>
      </c>
      <c r="F301" t="s">
        <v>22</v>
      </c>
      <c r="G301" t="s">
        <v>23</v>
      </c>
      <c r="H301" t="s">
        <v>52</v>
      </c>
      <c r="I301">
        <v>0</v>
      </c>
      <c r="J301">
        <v>0</v>
      </c>
      <c r="K301">
        <v>0</v>
      </c>
      <c r="L301">
        <v>36916</v>
      </c>
      <c r="M301">
        <v>0</v>
      </c>
      <c r="N301">
        <v>463</v>
      </c>
      <c r="O301">
        <v>35</v>
      </c>
      <c r="P301" t="s">
        <v>25</v>
      </c>
      <c r="Q301">
        <v>626363</v>
      </c>
      <c r="R301" t="s">
        <v>26</v>
      </c>
      <c r="S301" t="s">
        <v>74</v>
      </c>
      <c r="T301" t="s">
        <v>28</v>
      </c>
    </row>
    <row r="302" spans="1:20" x14ac:dyDescent="0.3">
      <c r="A302" t="s">
        <v>538</v>
      </c>
      <c r="B302" s="1">
        <v>45852</v>
      </c>
      <c r="C302" s="1" t="s">
        <v>1327</v>
      </c>
      <c r="D302" t="s">
        <v>80</v>
      </c>
      <c r="E302" t="s">
        <v>55</v>
      </c>
      <c r="F302" t="s">
        <v>38</v>
      </c>
      <c r="G302" t="s">
        <v>68</v>
      </c>
      <c r="H302" t="s">
        <v>40</v>
      </c>
      <c r="I302">
        <v>0</v>
      </c>
      <c r="J302">
        <v>90303</v>
      </c>
      <c r="K302">
        <v>0</v>
      </c>
      <c r="L302">
        <v>0</v>
      </c>
      <c r="M302">
        <v>0</v>
      </c>
      <c r="N302">
        <v>899</v>
      </c>
      <c r="O302">
        <v>50</v>
      </c>
      <c r="P302" t="s">
        <v>25</v>
      </c>
      <c r="Q302">
        <v>822166</v>
      </c>
      <c r="R302" t="s">
        <v>49</v>
      </c>
      <c r="S302" t="s">
        <v>27</v>
      </c>
      <c r="T302" t="s">
        <v>45</v>
      </c>
    </row>
    <row r="303" spans="1:20" x14ac:dyDescent="0.3">
      <c r="A303" t="s">
        <v>539</v>
      </c>
      <c r="B303" s="1">
        <v>45791</v>
      </c>
      <c r="C303" s="1" t="s">
        <v>1325</v>
      </c>
      <c r="D303" t="s">
        <v>43</v>
      </c>
      <c r="E303" t="s">
        <v>55</v>
      </c>
      <c r="F303" t="s">
        <v>44</v>
      </c>
      <c r="G303" t="s">
        <v>59</v>
      </c>
      <c r="H303" t="s">
        <v>40</v>
      </c>
      <c r="I303">
        <v>0</v>
      </c>
      <c r="J303">
        <v>4138</v>
      </c>
      <c r="K303">
        <v>0</v>
      </c>
      <c r="L303">
        <v>0</v>
      </c>
      <c r="M303">
        <v>0</v>
      </c>
      <c r="N303">
        <v>825</v>
      </c>
      <c r="O303">
        <v>67</v>
      </c>
      <c r="P303" t="s">
        <v>25</v>
      </c>
      <c r="Q303">
        <v>451576</v>
      </c>
      <c r="R303" t="s">
        <v>26</v>
      </c>
      <c r="S303" t="s">
        <v>27</v>
      </c>
      <c r="T303" t="s">
        <v>41</v>
      </c>
    </row>
    <row r="304" spans="1:20" x14ac:dyDescent="0.3">
      <c r="A304" t="s">
        <v>540</v>
      </c>
      <c r="B304" s="1">
        <v>45784</v>
      </c>
      <c r="C304" s="1" t="s">
        <v>1325</v>
      </c>
      <c r="D304" t="s">
        <v>58</v>
      </c>
      <c r="E304" t="s">
        <v>37</v>
      </c>
      <c r="F304" t="s">
        <v>64</v>
      </c>
      <c r="G304" t="s">
        <v>23</v>
      </c>
      <c r="H304" t="s">
        <v>40</v>
      </c>
      <c r="I304">
        <v>0</v>
      </c>
      <c r="J304">
        <v>20203</v>
      </c>
      <c r="K304">
        <v>0</v>
      </c>
      <c r="L304">
        <v>0</v>
      </c>
      <c r="M304">
        <v>0</v>
      </c>
      <c r="N304">
        <v>694</v>
      </c>
      <c r="O304">
        <v>34</v>
      </c>
      <c r="P304" t="s">
        <v>25</v>
      </c>
      <c r="Q304">
        <v>975162</v>
      </c>
      <c r="R304" t="s">
        <v>26</v>
      </c>
      <c r="S304" t="s">
        <v>27</v>
      </c>
      <c r="T304" t="s">
        <v>41</v>
      </c>
    </row>
    <row r="305" spans="1:20" x14ac:dyDescent="0.3">
      <c r="A305" t="s">
        <v>541</v>
      </c>
      <c r="B305" s="1">
        <v>45799</v>
      </c>
      <c r="C305" s="1" t="s">
        <v>1325</v>
      </c>
      <c r="D305" t="s">
        <v>110</v>
      </c>
      <c r="E305" t="s">
        <v>37</v>
      </c>
      <c r="F305" t="s">
        <v>21</v>
      </c>
      <c r="G305" t="s">
        <v>68</v>
      </c>
      <c r="H305" t="s">
        <v>31</v>
      </c>
      <c r="I305">
        <v>0</v>
      </c>
      <c r="J305">
        <v>0</v>
      </c>
      <c r="K305">
        <v>653259</v>
      </c>
      <c r="L305">
        <v>0</v>
      </c>
      <c r="M305">
        <v>0</v>
      </c>
      <c r="N305">
        <v>539</v>
      </c>
      <c r="O305">
        <v>33</v>
      </c>
      <c r="P305" t="s">
        <v>25</v>
      </c>
      <c r="Q305">
        <v>1713722</v>
      </c>
      <c r="R305" t="s">
        <v>26</v>
      </c>
      <c r="S305" t="s">
        <v>33</v>
      </c>
      <c r="T305" t="s">
        <v>41</v>
      </c>
    </row>
    <row r="306" spans="1:20" x14ac:dyDescent="0.3">
      <c r="A306" t="s">
        <v>542</v>
      </c>
      <c r="B306" s="1">
        <v>45754</v>
      </c>
      <c r="C306" s="1" t="s">
        <v>1324</v>
      </c>
      <c r="D306" t="s">
        <v>235</v>
      </c>
      <c r="E306" t="s">
        <v>48</v>
      </c>
      <c r="F306" t="s">
        <v>64</v>
      </c>
      <c r="G306" t="s">
        <v>68</v>
      </c>
      <c r="H306" t="s">
        <v>24</v>
      </c>
      <c r="I306">
        <v>0</v>
      </c>
      <c r="J306">
        <v>0</v>
      </c>
      <c r="K306">
        <v>0</v>
      </c>
      <c r="L306">
        <v>0</v>
      </c>
      <c r="M306">
        <v>6718.73</v>
      </c>
      <c r="N306">
        <v>844</v>
      </c>
      <c r="O306">
        <v>64</v>
      </c>
      <c r="P306" t="s">
        <v>25</v>
      </c>
      <c r="Q306">
        <v>727276</v>
      </c>
      <c r="R306" t="s">
        <v>49</v>
      </c>
      <c r="S306" t="s">
        <v>27</v>
      </c>
      <c r="T306" t="s">
        <v>45</v>
      </c>
    </row>
    <row r="307" spans="1:20" x14ac:dyDescent="0.3">
      <c r="A307" t="s">
        <v>543</v>
      </c>
      <c r="B307" s="1">
        <v>45942</v>
      </c>
      <c r="C307" s="1" t="s">
        <v>1330</v>
      </c>
      <c r="D307" t="s">
        <v>362</v>
      </c>
      <c r="E307" t="s">
        <v>77</v>
      </c>
      <c r="F307" t="s">
        <v>44</v>
      </c>
      <c r="G307" t="s">
        <v>23</v>
      </c>
      <c r="H307" t="s">
        <v>56</v>
      </c>
      <c r="I307">
        <v>191504</v>
      </c>
      <c r="J307">
        <v>0</v>
      </c>
      <c r="K307">
        <v>0</v>
      </c>
      <c r="L307">
        <v>0</v>
      </c>
      <c r="M307">
        <v>0</v>
      </c>
      <c r="N307">
        <v>776</v>
      </c>
      <c r="O307">
        <v>46</v>
      </c>
      <c r="P307" t="s">
        <v>25</v>
      </c>
      <c r="Q307">
        <v>2460855</v>
      </c>
      <c r="R307" t="s">
        <v>49</v>
      </c>
      <c r="S307" t="s">
        <v>27</v>
      </c>
      <c r="T307" t="s">
        <v>41</v>
      </c>
    </row>
    <row r="308" spans="1:20" x14ac:dyDescent="0.3">
      <c r="A308" t="s">
        <v>544</v>
      </c>
      <c r="B308" s="1">
        <v>45980</v>
      </c>
      <c r="C308" s="1" t="s">
        <v>1331</v>
      </c>
      <c r="D308" t="s">
        <v>545</v>
      </c>
      <c r="E308" t="s">
        <v>37</v>
      </c>
      <c r="F308" t="s">
        <v>21</v>
      </c>
      <c r="G308" t="s">
        <v>39</v>
      </c>
      <c r="H308" t="s">
        <v>52</v>
      </c>
      <c r="I308">
        <v>0</v>
      </c>
      <c r="J308">
        <v>0</v>
      </c>
      <c r="K308">
        <v>0</v>
      </c>
      <c r="L308">
        <v>7996</v>
      </c>
      <c r="M308">
        <v>0</v>
      </c>
      <c r="N308">
        <v>389</v>
      </c>
      <c r="O308">
        <v>20</v>
      </c>
      <c r="P308" t="s">
        <v>32</v>
      </c>
      <c r="Q308">
        <v>2014506</v>
      </c>
      <c r="R308" t="s">
        <v>49</v>
      </c>
      <c r="S308" t="s">
        <v>33</v>
      </c>
      <c r="T308" t="s">
        <v>60</v>
      </c>
    </row>
    <row r="309" spans="1:20" x14ac:dyDescent="0.3">
      <c r="A309" t="s">
        <v>546</v>
      </c>
      <c r="B309" s="1">
        <v>45972</v>
      </c>
      <c r="C309" s="1" t="s">
        <v>1331</v>
      </c>
      <c r="D309" t="s">
        <v>535</v>
      </c>
      <c r="E309" t="s">
        <v>55</v>
      </c>
      <c r="F309" t="s">
        <v>22</v>
      </c>
      <c r="G309" t="s">
        <v>23</v>
      </c>
      <c r="H309" t="s">
        <v>31</v>
      </c>
      <c r="I309">
        <v>0</v>
      </c>
      <c r="J309">
        <v>0</v>
      </c>
      <c r="K309">
        <v>264838</v>
      </c>
      <c r="L309">
        <v>0</v>
      </c>
      <c r="M309">
        <v>0</v>
      </c>
      <c r="N309">
        <v>558</v>
      </c>
      <c r="O309">
        <v>65</v>
      </c>
      <c r="P309" t="s">
        <v>32</v>
      </c>
      <c r="Q309">
        <v>1540892</v>
      </c>
      <c r="R309" t="s">
        <v>26</v>
      </c>
      <c r="S309" t="s">
        <v>65</v>
      </c>
      <c r="T309" t="s">
        <v>45</v>
      </c>
    </row>
    <row r="310" spans="1:20" x14ac:dyDescent="0.3">
      <c r="A310" t="s">
        <v>547</v>
      </c>
      <c r="B310" s="1">
        <v>45906</v>
      </c>
      <c r="C310" s="1" t="s">
        <v>1329</v>
      </c>
      <c r="D310" t="s">
        <v>332</v>
      </c>
      <c r="E310" t="s">
        <v>63</v>
      </c>
      <c r="F310" t="s">
        <v>44</v>
      </c>
      <c r="G310" t="s">
        <v>68</v>
      </c>
      <c r="H310" t="s">
        <v>40</v>
      </c>
      <c r="I310">
        <v>0</v>
      </c>
      <c r="J310">
        <v>92749</v>
      </c>
      <c r="K310">
        <v>0</v>
      </c>
      <c r="L310">
        <v>0</v>
      </c>
      <c r="M310">
        <v>0</v>
      </c>
      <c r="N310">
        <v>792</v>
      </c>
      <c r="O310">
        <v>37</v>
      </c>
      <c r="P310" t="s">
        <v>32</v>
      </c>
      <c r="Q310">
        <v>2213610</v>
      </c>
      <c r="R310" t="s">
        <v>49</v>
      </c>
      <c r="S310" t="s">
        <v>27</v>
      </c>
      <c r="T310" t="s">
        <v>41</v>
      </c>
    </row>
    <row r="311" spans="1:20" x14ac:dyDescent="0.3">
      <c r="A311" t="s">
        <v>548</v>
      </c>
      <c r="B311" s="1">
        <v>45873</v>
      </c>
      <c r="C311" s="1" t="s">
        <v>1328</v>
      </c>
      <c r="D311" t="s">
        <v>299</v>
      </c>
      <c r="E311" t="s">
        <v>63</v>
      </c>
      <c r="F311" t="s">
        <v>38</v>
      </c>
      <c r="G311" t="s">
        <v>39</v>
      </c>
      <c r="H311" t="s">
        <v>52</v>
      </c>
      <c r="I311">
        <v>0</v>
      </c>
      <c r="J311">
        <v>0</v>
      </c>
      <c r="K311">
        <v>0</v>
      </c>
      <c r="L311">
        <v>41851</v>
      </c>
      <c r="M311">
        <v>0</v>
      </c>
      <c r="N311">
        <v>646</v>
      </c>
      <c r="O311">
        <v>57</v>
      </c>
      <c r="P311" t="s">
        <v>32</v>
      </c>
      <c r="Q311">
        <v>939973</v>
      </c>
      <c r="R311" t="s">
        <v>49</v>
      </c>
      <c r="S311" t="s">
        <v>33</v>
      </c>
      <c r="T311" t="s">
        <v>28</v>
      </c>
    </row>
    <row r="312" spans="1:20" x14ac:dyDescent="0.3">
      <c r="A312" t="s">
        <v>549</v>
      </c>
      <c r="B312" s="1">
        <v>45806</v>
      </c>
      <c r="C312" s="1" t="s">
        <v>1325</v>
      </c>
      <c r="D312" t="s">
        <v>308</v>
      </c>
      <c r="E312" t="s">
        <v>48</v>
      </c>
      <c r="F312" t="s">
        <v>64</v>
      </c>
      <c r="G312" t="s">
        <v>23</v>
      </c>
      <c r="H312" t="s">
        <v>52</v>
      </c>
      <c r="I312">
        <v>0</v>
      </c>
      <c r="J312">
        <v>0</v>
      </c>
      <c r="K312">
        <v>0</v>
      </c>
      <c r="L312">
        <v>25033</v>
      </c>
      <c r="M312">
        <v>0</v>
      </c>
      <c r="N312">
        <v>479</v>
      </c>
      <c r="O312">
        <v>25</v>
      </c>
      <c r="P312" t="s">
        <v>25</v>
      </c>
      <c r="Q312">
        <v>2599089</v>
      </c>
      <c r="R312" t="s">
        <v>49</v>
      </c>
      <c r="S312" t="s">
        <v>74</v>
      </c>
      <c r="T312" t="s">
        <v>34</v>
      </c>
    </row>
    <row r="313" spans="1:20" x14ac:dyDescent="0.3">
      <c r="A313" t="s">
        <v>550</v>
      </c>
      <c r="B313" s="1">
        <v>45853</v>
      </c>
      <c r="C313" s="1" t="s">
        <v>1327</v>
      </c>
      <c r="D313" t="s">
        <v>223</v>
      </c>
      <c r="E313" t="s">
        <v>55</v>
      </c>
      <c r="F313" t="s">
        <v>64</v>
      </c>
      <c r="G313" t="s">
        <v>59</v>
      </c>
      <c r="H313" t="s">
        <v>40</v>
      </c>
      <c r="I313">
        <v>0</v>
      </c>
      <c r="J313">
        <v>83050</v>
      </c>
      <c r="K313">
        <v>0</v>
      </c>
      <c r="L313">
        <v>0</v>
      </c>
      <c r="M313">
        <v>0</v>
      </c>
      <c r="N313">
        <v>351</v>
      </c>
      <c r="O313">
        <v>45</v>
      </c>
      <c r="P313" t="s">
        <v>32</v>
      </c>
      <c r="Q313">
        <v>2756772</v>
      </c>
      <c r="R313" t="s">
        <v>26</v>
      </c>
      <c r="S313" t="s">
        <v>27</v>
      </c>
      <c r="T313" t="s">
        <v>41</v>
      </c>
    </row>
    <row r="314" spans="1:20" x14ac:dyDescent="0.3">
      <c r="A314" t="s">
        <v>551</v>
      </c>
      <c r="B314" s="1">
        <v>45694</v>
      </c>
      <c r="C314" s="1" t="s">
        <v>1322</v>
      </c>
      <c r="D314" t="s">
        <v>283</v>
      </c>
      <c r="E314" t="s">
        <v>77</v>
      </c>
      <c r="F314" t="s">
        <v>38</v>
      </c>
      <c r="G314" t="s">
        <v>68</v>
      </c>
      <c r="H314" t="s">
        <v>56</v>
      </c>
      <c r="I314">
        <v>18311</v>
      </c>
      <c r="J314">
        <v>0</v>
      </c>
      <c r="K314">
        <v>0</v>
      </c>
      <c r="L314">
        <v>0</v>
      </c>
      <c r="M314">
        <v>0</v>
      </c>
      <c r="N314">
        <v>812</v>
      </c>
      <c r="O314">
        <v>44</v>
      </c>
      <c r="P314" t="s">
        <v>32</v>
      </c>
      <c r="Q314">
        <v>2112878</v>
      </c>
      <c r="R314" t="s">
        <v>49</v>
      </c>
      <c r="S314" t="s">
        <v>27</v>
      </c>
      <c r="T314" t="s">
        <v>45</v>
      </c>
    </row>
    <row r="315" spans="1:20" x14ac:dyDescent="0.3">
      <c r="A315" t="s">
        <v>552</v>
      </c>
      <c r="B315" s="1">
        <v>45755</v>
      </c>
      <c r="C315" s="1" t="s">
        <v>1324</v>
      </c>
      <c r="D315" t="s">
        <v>553</v>
      </c>
      <c r="E315" t="s">
        <v>77</v>
      </c>
      <c r="F315" t="s">
        <v>38</v>
      </c>
      <c r="G315" t="s">
        <v>39</v>
      </c>
      <c r="H315" t="s">
        <v>40</v>
      </c>
      <c r="I315">
        <v>0</v>
      </c>
      <c r="J315">
        <v>9602</v>
      </c>
      <c r="K315">
        <v>0</v>
      </c>
      <c r="L315">
        <v>0</v>
      </c>
      <c r="M315">
        <v>0</v>
      </c>
      <c r="N315">
        <v>376</v>
      </c>
      <c r="O315">
        <v>29</v>
      </c>
      <c r="P315" t="s">
        <v>32</v>
      </c>
      <c r="Q315">
        <v>426935</v>
      </c>
      <c r="R315" t="s">
        <v>26</v>
      </c>
      <c r="S315" t="s">
        <v>27</v>
      </c>
      <c r="T315" t="s">
        <v>34</v>
      </c>
    </row>
    <row r="316" spans="1:20" x14ac:dyDescent="0.3">
      <c r="A316" t="s">
        <v>554</v>
      </c>
      <c r="B316" s="1">
        <v>45769</v>
      </c>
      <c r="C316" s="1" t="s">
        <v>1324</v>
      </c>
      <c r="D316" t="s">
        <v>438</v>
      </c>
      <c r="E316" t="s">
        <v>77</v>
      </c>
      <c r="F316" t="s">
        <v>64</v>
      </c>
      <c r="G316" t="s">
        <v>23</v>
      </c>
      <c r="H316" t="s">
        <v>52</v>
      </c>
      <c r="I316">
        <v>0</v>
      </c>
      <c r="J316">
        <v>0</v>
      </c>
      <c r="K316">
        <v>0</v>
      </c>
      <c r="L316">
        <v>36463</v>
      </c>
      <c r="M316">
        <v>0</v>
      </c>
      <c r="N316">
        <v>340</v>
      </c>
      <c r="O316">
        <v>44</v>
      </c>
      <c r="P316" t="s">
        <v>32</v>
      </c>
      <c r="Q316">
        <v>1250113</v>
      </c>
      <c r="R316" t="s">
        <v>26</v>
      </c>
      <c r="S316" t="s">
        <v>74</v>
      </c>
      <c r="T316" t="s">
        <v>41</v>
      </c>
    </row>
    <row r="317" spans="1:20" x14ac:dyDescent="0.3">
      <c r="A317" t="s">
        <v>555</v>
      </c>
      <c r="B317" s="1">
        <v>45706</v>
      </c>
      <c r="C317" s="1" t="s">
        <v>1322</v>
      </c>
      <c r="D317" t="s">
        <v>556</v>
      </c>
      <c r="E317" t="s">
        <v>21</v>
      </c>
      <c r="F317" t="s">
        <v>64</v>
      </c>
      <c r="G317" t="s">
        <v>68</v>
      </c>
      <c r="H317" t="s">
        <v>31</v>
      </c>
      <c r="I317">
        <v>0</v>
      </c>
      <c r="J317">
        <v>0</v>
      </c>
      <c r="K317">
        <v>758319</v>
      </c>
      <c r="L317">
        <v>0</v>
      </c>
      <c r="M317">
        <v>0</v>
      </c>
      <c r="N317">
        <v>725</v>
      </c>
      <c r="O317">
        <v>49</v>
      </c>
      <c r="P317" t="s">
        <v>25</v>
      </c>
      <c r="Q317">
        <v>1951484</v>
      </c>
      <c r="R317" t="s">
        <v>26</v>
      </c>
      <c r="S317" t="s">
        <v>33</v>
      </c>
      <c r="T317" t="s">
        <v>28</v>
      </c>
    </row>
    <row r="318" spans="1:20" x14ac:dyDescent="0.3">
      <c r="A318" t="s">
        <v>557</v>
      </c>
      <c r="B318" s="1">
        <v>45739</v>
      </c>
      <c r="C318" s="1" t="s">
        <v>1323</v>
      </c>
      <c r="D318" t="s">
        <v>558</v>
      </c>
      <c r="E318" t="s">
        <v>77</v>
      </c>
      <c r="F318" t="s">
        <v>38</v>
      </c>
      <c r="G318" t="s">
        <v>59</v>
      </c>
      <c r="H318" t="s">
        <v>31</v>
      </c>
      <c r="I318">
        <v>0</v>
      </c>
      <c r="J318">
        <v>0</v>
      </c>
      <c r="K318">
        <v>1496962</v>
      </c>
      <c r="L318">
        <v>0</v>
      </c>
      <c r="M318">
        <v>0</v>
      </c>
      <c r="N318">
        <v>865</v>
      </c>
      <c r="O318">
        <v>65</v>
      </c>
      <c r="P318" t="s">
        <v>25</v>
      </c>
      <c r="Q318">
        <v>2083450</v>
      </c>
      <c r="R318" t="s">
        <v>49</v>
      </c>
      <c r="S318" t="s">
        <v>33</v>
      </c>
      <c r="T318" t="s">
        <v>41</v>
      </c>
    </row>
    <row r="319" spans="1:20" x14ac:dyDescent="0.3">
      <c r="A319" t="s">
        <v>559</v>
      </c>
      <c r="B319" s="1">
        <v>45663</v>
      </c>
      <c r="C319" s="1" t="s">
        <v>1321</v>
      </c>
      <c r="D319" t="s">
        <v>87</v>
      </c>
      <c r="E319" t="s">
        <v>55</v>
      </c>
      <c r="F319" t="s">
        <v>44</v>
      </c>
      <c r="G319" t="s">
        <v>39</v>
      </c>
      <c r="H319" t="s">
        <v>52</v>
      </c>
      <c r="I319">
        <v>0</v>
      </c>
      <c r="J319">
        <v>0</v>
      </c>
      <c r="K319">
        <v>0</v>
      </c>
      <c r="L319">
        <v>8671</v>
      </c>
      <c r="M319">
        <v>0</v>
      </c>
      <c r="N319">
        <v>718</v>
      </c>
      <c r="O319">
        <v>53</v>
      </c>
      <c r="P319" t="s">
        <v>25</v>
      </c>
      <c r="Q319">
        <v>1740672</v>
      </c>
      <c r="R319" t="s">
        <v>26</v>
      </c>
      <c r="S319" t="s">
        <v>33</v>
      </c>
      <c r="T319" t="s">
        <v>41</v>
      </c>
    </row>
    <row r="320" spans="1:20" x14ac:dyDescent="0.3">
      <c r="A320" t="s">
        <v>560</v>
      </c>
      <c r="B320" s="1">
        <v>45795</v>
      </c>
      <c r="C320" s="1" t="s">
        <v>1325</v>
      </c>
      <c r="D320" t="s">
        <v>561</v>
      </c>
      <c r="E320" t="s">
        <v>48</v>
      </c>
      <c r="F320" t="s">
        <v>38</v>
      </c>
      <c r="G320" t="s">
        <v>59</v>
      </c>
      <c r="H320" t="s">
        <v>56</v>
      </c>
      <c r="I320">
        <v>161826</v>
      </c>
      <c r="J320">
        <v>0</v>
      </c>
      <c r="K320">
        <v>0</v>
      </c>
      <c r="L320">
        <v>0</v>
      </c>
      <c r="M320">
        <v>0</v>
      </c>
      <c r="N320">
        <v>747</v>
      </c>
      <c r="O320">
        <v>34</v>
      </c>
      <c r="P320" t="s">
        <v>25</v>
      </c>
      <c r="Q320">
        <v>1493676</v>
      </c>
      <c r="R320" t="s">
        <v>26</v>
      </c>
      <c r="S320" t="s">
        <v>27</v>
      </c>
      <c r="T320" t="s">
        <v>45</v>
      </c>
    </row>
    <row r="321" spans="1:20" x14ac:dyDescent="0.3">
      <c r="A321" t="s">
        <v>562</v>
      </c>
      <c r="B321" s="1">
        <v>45884</v>
      </c>
      <c r="C321" s="1" t="s">
        <v>1328</v>
      </c>
      <c r="D321" t="s">
        <v>102</v>
      </c>
      <c r="E321" t="s">
        <v>48</v>
      </c>
      <c r="F321" t="s">
        <v>22</v>
      </c>
      <c r="G321" t="s">
        <v>23</v>
      </c>
      <c r="H321" t="s">
        <v>24</v>
      </c>
      <c r="I321">
        <v>0</v>
      </c>
      <c r="J321">
        <v>0</v>
      </c>
      <c r="K321">
        <v>0</v>
      </c>
      <c r="L321">
        <v>0</v>
      </c>
      <c r="M321">
        <v>5901.42</v>
      </c>
      <c r="N321">
        <v>618</v>
      </c>
      <c r="O321">
        <v>45</v>
      </c>
      <c r="P321" t="s">
        <v>32</v>
      </c>
      <c r="Q321">
        <v>2864367</v>
      </c>
      <c r="R321" t="s">
        <v>49</v>
      </c>
      <c r="S321" t="s">
        <v>27</v>
      </c>
      <c r="T321" t="s">
        <v>34</v>
      </c>
    </row>
    <row r="322" spans="1:20" x14ac:dyDescent="0.3">
      <c r="A322" t="s">
        <v>563</v>
      </c>
      <c r="B322" s="1">
        <v>45707</v>
      </c>
      <c r="C322" s="1" t="s">
        <v>1322</v>
      </c>
      <c r="D322" t="s">
        <v>564</v>
      </c>
      <c r="E322" t="s">
        <v>37</v>
      </c>
      <c r="F322" t="s">
        <v>64</v>
      </c>
      <c r="G322" t="s">
        <v>39</v>
      </c>
      <c r="H322" t="s">
        <v>24</v>
      </c>
      <c r="I322">
        <v>0</v>
      </c>
      <c r="J322">
        <v>0</v>
      </c>
      <c r="K322">
        <v>0</v>
      </c>
      <c r="L322">
        <v>0</v>
      </c>
      <c r="M322">
        <v>772.13</v>
      </c>
      <c r="N322">
        <v>300</v>
      </c>
      <c r="O322">
        <v>23</v>
      </c>
      <c r="P322" t="s">
        <v>25</v>
      </c>
      <c r="Q322">
        <v>1139022</v>
      </c>
      <c r="R322" t="s">
        <v>26</v>
      </c>
      <c r="S322" t="s">
        <v>27</v>
      </c>
      <c r="T322" t="s">
        <v>60</v>
      </c>
    </row>
    <row r="323" spans="1:20" x14ac:dyDescent="0.3">
      <c r="A323" t="s">
        <v>565</v>
      </c>
      <c r="B323" s="1">
        <v>45906</v>
      </c>
      <c r="C323" s="1" t="s">
        <v>1329</v>
      </c>
      <c r="D323" t="s">
        <v>118</v>
      </c>
      <c r="E323" t="s">
        <v>77</v>
      </c>
      <c r="F323" t="s">
        <v>44</v>
      </c>
      <c r="G323" t="s">
        <v>39</v>
      </c>
      <c r="H323" t="s">
        <v>31</v>
      </c>
      <c r="I323">
        <v>0</v>
      </c>
      <c r="J323">
        <v>0</v>
      </c>
      <c r="K323">
        <v>493343</v>
      </c>
      <c r="L323">
        <v>0</v>
      </c>
      <c r="M323">
        <v>0</v>
      </c>
      <c r="N323">
        <v>365</v>
      </c>
      <c r="O323">
        <v>33</v>
      </c>
      <c r="P323" t="s">
        <v>32</v>
      </c>
      <c r="Q323">
        <v>702327</v>
      </c>
      <c r="R323" t="s">
        <v>26</v>
      </c>
      <c r="S323" t="s">
        <v>65</v>
      </c>
      <c r="T323" t="s">
        <v>60</v>
      </c>
    </row>
    <row r="324" spans="1:20" x14ac:dyDescent="0.3">
      <c r="A324" t="s">
        <v>566</v>
      </c>
      <c r="B324" s="1">
        <v>45719</v>
      </c>
      <c r="C324" s="1" t="s">
        <v>1323</v>
      </c>
      <c r="D324" t="s">
        <v>155</v>
      </c>
      <c r="E324" t="s">
        <v>55</v>
      </c>
      <c r="F324" t="s">
        <v>64</v>
      </c>
      <c r="G324" t="s">
        <v>59</v>
      </c>
      <c r="H324" t="s">
        <v>24</v>
      </c>
      <c r="I324">
        <v>0</v>
      </c>
      <c r="J324">
        <v>0</v>
      </c>
      <c r="K324">
        <v>0</v>
      </c>
      <c r="L324">
        <v>0</v>
      </c>
      <c r="M324">
        <v>4189.92</v>
      </c>
      <c r="N324">
        <v>436</v>
      </c>
      <c r="O324">
        <v>40</v>
      </c>
      <c r="P324" t="s">
        <v>25</v>
      </c>
      <c r="Q324">
        <v>1774020</v>
      </c>
      <c r="R324" t="s">
        <v>49</v>
      </c>
      <c r="S324" t="s">
        <v>27</v>
      </c>
      <c r="T324" t="s">
        <v>60</v>
      </c>
    </row>
    <row r="325" spans="1:20" x14ac:dyDescent="0.3">
      <c r="A325" t="s">
        <v>567</v>
      </c>
      <c r="B325" s="1">
        <v>45787</v>
      </c>
      <c r="C325" s="1" t="s">
        <v>1325</v>
      </c>
      <c r="D325" t="s">
        <v>568</v>
      </c>
      <c r="E325" t="s">
        <v>63</v>
      </c>
      <c r="F325" t="s">
        <v>38</v>
      </c>
      <c r="G325" t="s">
        <v>23</v>
      </c>
      <c r="H325" t="s">
        <v>31</v>
      </c>
      <c r="I325">
        <v>0</v>
      </c>
      <c r="J325">
        <v>0</v>
      </c>
      <c r="K325">
        <v>1509875</v>
      </c>
      <c r="L325">
        <v>0</v>
      </c>
      <c r="M325">
        <v>0</v>
      </c>
      <c r="N325">
        <v>837</v>
      </c>
      <c r="O325">
        <v>53</v>
      </c>
      <c r="P325" t="s">
        <v>25</v>
      </c>
      <c r="Q325">
        <v>2175909</v>
      </c>
      <c r="R325" t="s">
        <v>49</v>
      </c>
      <c r="S325" t="s">
        <v>65</v>
      </c>
      <c r="T325" t="s">
        <v>28</v>
      </c>
    </row>
    <row r="326" spans="1:20" x14ac:dyDescent="0.3">
      <c r="A326" t="s">
        <v>569</v>
      </c>
      <c r="B326" s="1">
        <v>45736</v>
      </c>
      <c r="C326" s="1" t="s">
        <v>1323</v>
      </c>
      <c r="D326" t="s">
        <v>324</v>
      </c>
      <c r="E326" t="s">
        <v>55</v>
      </c>
      <c r="F326" t="s">
        <v>44</v>
      </c>
      <c r="G326" t="s">
        <v>59</v>
      </c>
      <c r="H326" t="s">
        <v>52</v>
      </c>
      <c r="I326">
        <v>0</v>
      </c>
      <c r="J326">
        <v>0</v>
      </c>
      <c r="K326">
        <v>0</v>
      </c>
      <c r="L326">
        <v>35674</v>
      </c>
      <c r="M326">
        <v>0</v>
      </c>
      <c r="N326">
        <v>575</v>
      </c>
      <c r="O326">
        <v>67</v>
      </c>
      <c r="P326" t="s">
        <v>32</v>
      </c>
      <c r="Q326">
        <v>1297864</v>
      </c>
      <c r="R326" t="s">
        <v>26</v>
      </c>
      <c r="S326" t="s">
        <v>74</v>
      </c>
      <c r="T326" t="s">
        <v>28</v>
      </c>
    </row>
    <row r="327" spans="1:20" x14ac:dyDescent="0.3">
      <c r="A327" t="s">
        <v>570</v>
      </c>
      <c r="B327" s="1">
        <v>45774</v>
      </c>
      <c r="C327" s="1" t="s">
        <v>1324</v>
      </c>
      <c r="D327" t="s">
        <v>187</v>
      </c>
      <c r="E327" t="s">
        <v>37</v>
      </c>
      <c r="F327" t="s">
        <v>44</v>
      </c>
      <c r="G327" t="s">
        <v>39</v>
      </c>
      <c r="H327" t="s">
        <v>31</v>
      </c>
      <c r="I327">
        <v>0</v>
      </c>
      <c r="J327">
        <v>0</v>
      </c>
      <c r="K327">
        <v>1417386</v>
      </c>
      <c r="L327">
        <v>0</v>
      </c>
      <c r="M327">
        <v>0</v>
      </c>
      <c r="N327">
        <v>660</v>
      </c>
      <c r="O327">
        <v>45</v>
      </c>
      <c r="P327" t="s">
        <v>32</v>
      </c>
      <c r="Q327">
        <v>2885337</v>
      </c>
      <c r="R327" t="s">
        <v>49</v>
      </c>
      <c r="S327" t="s">
        <v>65</v>
      </c>
      <c r="T327" t="s">
        <v>28</v>
      </c>
    </row>
    <row r="328" spans="1:20" x14ac:dyDescent="0.3">
      <c r="A328" t="s">
        <v>571</v>
      </c>
      <c r="B328" s="1">
        <v>45997</v>
      </c>
      <c r="C328" s="1" t="s">
        <v>1332</v>
      </c>
      <c r="D328" t="s">
        <v>108</v>
      </c>
      <c r="E328" t="s">
        <v>63</v>
      </c>
      <c r="F328" t="s">
        <v>44</v>
      </c>
      <c r="G328" t="s">
        <v>23</v>
      </c>
      <c r="H328" t="s">
        <v>40</v>
      </c>
      <c r="I328">
        <v>0</v>
      </c>
      <c r="J328">
        <v>36734</v>
      </c>
      <c r="K328">
        <v>0</v>
      </c>
      <c r="L328">
        <v>0</v>
      </c>
      <c r="M328">
        <v>0</v>
      </c>
      <c r="N328">
        <v>529</v>
      </c>
      <c r="O328">
        <v>67</v>
      </c>
      <c r="P328" t="s">
        <v>25</v>
      </c>
      <c r="Q328">
        <v>296712</v>
      </c>
      <c r="R328" t="s">
        <v>49</v>
      </c>
      <c r="S328" t="s">
        <v>27</v>
      </c>
      <c r="T328" t="s">
        <v>60</v>
      </c>
    </row>
    <row r="329" spans="1:20" x14ac:dyDescent="0.3">
      <c r="A329" t="s">
        <v>572</v>
      </c>
      <c r="B329" s="1">
        <v>45818</v>
      </c>
      <c r="C329" s="1" t="s">
        <v>1326</v>
      </c>
      <c r="D329" t="s">
        <v>85</v>
      </c>
      <c r="E329" t="s">
        <v>55</v>
      </c>
      <c r="F329" t="s">
        <v>22</v>
      </c>
      <c r="G329" t="s">
        <v>59</v>
      </c>
      <c r="H329" t="s">
        <v>40</v>
      </c>
      <c r="I329">
        <v>0</v>
      </c>
      <c r="J329">
        <v>84574</v>
      </c>
      <c r="K329">
        <v>0</v>
      </c>
      <c r="L329">
        <v>0</v>
      </c>
      <c r="M329">
        <v>0</v>
      </c>
      <c r="N329">
        <v>463</v>
      </c>
      <c r="O329">
        <v>24</v>
      </c>
      <c r="P329" t="s">
        <v>32</v>
      </c>
      <c r="Q329">
        <v>2935495</v>
      </c>
      <c r="R329" t="s">
        <v>49</v>
      </c>
      <c r="S329" t="s">
        <v>27</v>
      </c>
      <c r="T329" t="s">
        <v>60</v>
      </c>
    </row>
    <row r="330" spans="1:20" x14ac:dyDescent="0.3">
      <c r="A330" t="s">
        <v>573</v>
      </c>
      <c r="B330" s="1">
        <v>46019</v>
      </c>
      <c r="C330" s="1" t="s">
        <v>1332</v>
      </c>
      <c r="D330" t="s">
        <v>385</v>
      </c>
      <c r="E330" t="s">
        <v>21</v>
      </c>
      <c r="F330" t="s">
        <v>22</v>
      </c>
      <c r="G330" t="s">
        <v>68</v>
      </c>
      <c r="H330" t="s">
        <v>56</v>
      </c>
      <c r="I330">
        <v>20620</v>
      </c>
      <c r="J330">
        <v>0</v>
      </c>
      <c r="K330">
        <v>0</v>
      </c>
      <c r="L330">
        <v>0</v>
      </c>
      <c r="M330">
        <v>0</v>
      </c>
      <c r="N330">
        <v>867</v>
      </c>
      <c r="O330">
        <v>52</v>
      </c>
      <c r="P330" t="s">
        <v>25</v>
      </c>
      <c r="Q330">
        <v>859523</v>
      </c>
      <c r="R330" t="s">
        <v>26</v>
      </c>
      <c r="S330" t="s">
        <v>27</v>
      </c>
      <c r="T330" t="s">
        <v>41</v>
      </c>
    </row>
    <row r="331" spans="1:20" x14ac:dyDescent="0.3">
      <c r="A331" t="s">
        <v>574</v>
      </c>
      <c r="B331" s="1">
        <v>45767</v>
      </c>
      <c r="C331" s="1" t="s">
        <v>1324</v>
      </c>
      <c r="D331" t="s">
        <v>134</v>
      </c>
      <c r="E331" t="s">
        <v>37</v>
      </c>
      <c r="F331" t="s">
        <v>38</v>
      </c>
      <c r="G331" t="s">
        <v>59</v>
      </c>
      <c r="H331" t="s">
        <v>40</v>
      </c>
      <c r="I331">
        <v>0</v>
      </c>
      <c r="J331">
        <v>88448</v>
      </c>
      <c r="K331">
        <v>0</v>
      </c>
      <c r="L331">
        <v>0</v>
      </c>
      <c r="M331">
        <v>0</v>
      </c>
      <c r="N331">
        <v>892</v>
      </c>
      <c r="O331">
        <v>40</v>
      </c>
      <c r="P331" t="s">
        <v>32</v>
      </c>
      <c r="Q331">
        <v>1445296</v>
      </c>
      <c r="R331" t="s">
        <v>26</v>
      </c>
      <c r="S331" t="s">
        <v>27</v>
      </c>
      <c r="T331" t="s">
        <v>45</v>
      </c>
    </row>
    <row r="332" spans="1:20" x14ac:dyDescent="0.3">
      <c r="A332" t="s">
        <v>575</v>
      </c>
      <c r="B332" s="1">
        <v>45676</v>
      </c>
      <c r="C332" s="1" t="s">
        <v>1321</v>
      </c>
      <c r="D332" t="s">
        <v>268</v>
      </c>
      <c r="E332" t="s">
        <v>77</v>
      </c>
      <c r="F332" t="s">
        <v>21</v>
      </c>
      <c r="G332" t="s">
        <v>68</v>
      </c>
      <c r="H332" t="s">
        <v>56</v>
      </c>
      <c r="I332">
        <v>184378</v>
      </c>
      <c r="J332">
        <v>0</v>
      </c>
      <c r="K332">
        <v>0</v>
      </c>
      <c r="L332">
        <v>0</v>
      </c>
      <c r="M332">
        <v>0</v>
      </c>
      <c r="N332">
        <v>477</v>
      </c>
      <c r="O332">
        <v>36</v>
      </c>
      <c r="P332" t="s">
        <v>25</v>
      </c>
      <c r="Q332">
        <v>701529</v>
      </c>
      <c r="R332" t="s">
        <v>26</v>
      </c>
      <c r="S332" t="s">
        <v>27</v>
      </c>
      <c r="T332" t="s">
        <v>41</v>
      </c>
    </row>
    <row r="333" spans="1:20" x14ac:dyDescent="0.3">
      <c r="A333" t="s">
        <v>576</v>
      </c>
      <c r="B333" s="1">
        <v>45812</v>
      </c>
      <c r="C333" s="1" t="s">
        <v>1326</v>
      </c>
      <c r="D333" t="s">
        <v>312</v>
      </c>
      <c r="E333" t="s">
        <v>55</v>
      </c>
      <c r="F333" t="s">
        <v>64</v>
      </c>
      <c r="G333" t="s">
        <v>39</v>
      </c>
      <c r="H333" t="s">
        <v>56</v>
      </c>
      <c r="I333">
        <v>135954</v>
      </c>
      <c r="J333">
        <v>0</v>
      </c>
      <c r="K333">
        <v>0</v>
      </c>
      <c r="L333">
        <v>0</v>
      </c>
      <c r="M333">
        <v>0</v>
      </c>
      <c r="N333">
        <v>375</v>
      </c>
      <c r="O333">
        <v>39</v>
      </c>
      <c r="P333" t="s">
        <v>32</v>
      </c>
      <c r="Q333">
        <v>924691</v>
      </c>
      <c r="R333" t="s">
        <v>26</v>
      </c>
      <c r="S333" t="s">
        <v>27</v>
      </c>
      <c r="T333" t="s">
        <v>28</v>
      </c>
    </row>
    <row r="334" spans="1:20" x14ac:dyDescent="0.3">
      <c r="A334" t="s">
        <v>577</v>
      </c>
      <c r="B334" s="1">
        <v>45681</v>
      </c>
      <c r="C334" s="1" t="s">
        <v>1321</v>
      </c>
      <c r="D334" t="s">
        <v>578</v>
      </c>
      <c r="E334" t="s">
        <v>37</v>
      </c>
      <c r="F334" t="s">
        <v>38</v>
      </c>
      <c r="G334" t="s">
        <v>59</v>
      </c>
      <c r="H334" t="s">
        <v>31</v>
      </c>
      <c r="I334">
        <v>0</v>
      </c>
      <c r="J334">
        <v>0</v>
      </c>
      <c r="K334">
        <v>1193441</v>
      </c>
      <c r="L334">
        <v>0</v>
      </c>
      <c r="M334">
        <v>0</v>
      </c>
      <c r="N334">
        <v>773</v>
      </c>
      <c r="O334">
        <v>51</v>
      </c>
      <c r="P334" t="s">
        <v>32</v>
      </c>
      <c r="Q334">
        <v>1570728</v>
      </c>
      <c r="R334" t="s">
        <v>26</v>
      </c>
      <c r="S334" t="s">
        <v>33</v>
      </c>
      <c r="T334" t="s">
        <v>34</v>
      </c>
    </row>
    <row r="335" spans="1:20" x14ac:dyDescent="0.3">
      <c r="A335" t="s">
        <v>579</v>
      </c>
      <c r="B335" s="1">
        <v>45668</v>
      </c>
      <c r="C335" s="1" t="s">
        <v>1321</v>
      </c>
      <c r="D335" t="s">
        <v>262</v>
      </c>
      <c r="E335" t="s">
        <v>63</v>
      </c>
      <c r="F335" t="s">
        <v>21</v>
      </c>
      <c r="G335" t="s">
        <v>68</v>
      </c>
      <c r="H335" t="s">
        <v>56</v>
      </c>
      <c r="I335">
        <v>51520</v>
      </c>
      <c r="J335">
        <v>0</v>
      </c>
      <c r="K335">
        <v>0</v>
      </c>
      <c r="L335">
        <v>0</v>
      </c>
      <c r="M335">
        <v>0</v>
      </c>
      <c r="N335">
        <v>778</v>
      </c>
      <c r="O335">
        <v>67</v>
      </c>
      <c r="P335" t="s">
        <v>32</v>
      </c>
      <c r="Q335">
        <v>624276</v>
      </c>
      <c r="R335" t="s">
        <v>49</v>
      </c>
      <c r="S335" t="s">
        <v>27</v>
      </c>
      <c r="T335" t="s">
        <v>41</v>
      </c>
    </row>
    <row r="336" spans="1:20" x14ac:dyDescent="0.3">
      <c r="A336" t="s">
        <v>581</v>
      </c>
      <c r="B336" s="1">
        <v>45713</v>
      </c>
      <c r="C336" s="1" t="s">
        <v>1322</v>
      </c>
      <c r="D336" t="s">
        <v>582</v>
      </c>
      <c r="E336" t="s">
        <v>77</v>
      </c>
      <c r="F336" t="s">
        <v>44</v>
      </c>
      <c r="G336" t="s">
        <v>39</v>
      </c>
      <c r="H336" t="s">
        <v>31</v>
      </c>
      <c r="I336">
        <v>0</v>
      </c>
      <c r="J336">
        <v>0</v>
      </c>
      <c r="K336">
        <v>379402</v>
      </c>
      <c r="L336">
        <v>0</v>
      </c>
      <c r="M336">
        <v>0</v>
      </c>
      <c r="N336">
        <v>618</v>
      </c>
      <c r="O336">
        <v>29</v>
      </c>
      <c r="P336" t="s">
        <v>32</v>
      </c>
      <c r="Q336">
        <v>1360442</v>
      </c>
      <c r="R336" t="s">
        <v>49</v>
      </c>
      <c r="S336" t="s">
        <v>33</v>
      </c>
      <c r="T336" t="s">
        <v>45</v>
      </c>
    </row>
    <row r="337" spans="1:20" x14ac:dyDescent="0.3">
      <c r="A337" t="s">
        <v>583</v>
      </c>
      <c r="B337" s="1">
        <v>45785</v>
      </c>
      <c r="C337" s="1" t="s">
        <v>1325</v>
      </c>
      <c r="D337" t="s">
        <v>268</v>
      </c>
      <c r="E337" t="s">
        <v>55</v>
      </c>
      <c r="F337" t="s">
        <v>38</v>
      </c>
      <c r="G337" t="s">
        <v>68</v>
      </c>
      <c r="H337" t="s">
        <v>56</v>
      </c>
      <c r="I337">
        <v>90087</v>
      </c>
      <c r="J337">
        <v>0</v>
      </c>
      <c r="K337">
        <v>0</v>
      </c>
      <c r="L337">
        <v>0</v>
      </c>
      <c r="M337">
        <v>0</v>
      </c>
      <c r="N337">
        <v>884</v>
      </c>
      <c r="O337">
        <v>20</v>
      </c>
      <c r="P337" t="s">
        <v>32</v>
      </c>
      <c r="Q337">
        <v>1046307</v>
      </c>
      <c r="R337" t="s">
        <v>26</v>
      </c>
      <c r="S337" t="s">
        <v>27</v>
      </c>
      <c r="T337" t="s">
        <v>34</v>
      </c>
    </row>
    <row r="338" spans="1:20" x14ac:dyDescent="0.3">
      <c r="A338" t="s">
        <v>584</v>
      </c>
      <c r="B338" s="1">
        <v>45906</v>
      </c>
      <c r="C338" s="1" t="s">
        <v>1329</v>
      </c>
      <c r="D338" t="s">
        <v>62</v>
      </c>
      <c r="E338" t="s">
        <v>55</v>
      </c>
      <c r="F338" t="s">
        <v>22</v>
      </c>
      <c r="G338" t="s">
        <v>68</v>
      </c>
      <c r="H338" t="s">
        <v>56</v>
      </c>
      <c r="I338">
        <v>172792</v>
      </c>
      <c r="J338">
        <v>0</v>
      </c>
      <c r="K338">
        <v>0</v>
      </c>
      <c r="L338">
        <v>0</v>
      </c>
      <c r="M338">
        <v>0</v>
      </c>
      <c r="N338">
        <v>418</v>
      </c>
      <c r="O338">
        <v>38</v>
      </c>
      <c r="P338" t="s">
        <v>25</v>
      </c>
      <c r="Q338">
        <v>918313</v>
      </c>
      <c r="R338" t="s">
        <v>26</v>
      </c>
      <c r="S338" t="s">
        <v>27</v>
      </c>
      <c r="T338" t="s">
        <v>34</v>
      </c>
    </row>
    <row r="339" spans="1:20" x14ac:dyDescent="0.3">
      <c r="A339" t="s">
        <v>585</v>
      </c>
      <c r="B339" s="1">
        <v>45991</v>
      </c>
      <c r="C339" s="1" t="s">
        <v>1331</v>
      </c>
      <c r="D339" t="s">
        <v>279</v>
      </c>
      <c r="E339" t="s">
        <v>63</v>
      </c>
      <c r="F339" t="s">
        <v>38</v>
      </c>
      <c r="G339" t="s">
        <v>39</v>
      </c>
      <c r="H339" t="s">
        <v>56</v>
      </c>
      <c r="I339">
        <v>73135</v>
      </c>
      <c r="J339">
        <v>0</v>
      </c>
      <c r="K339">
        <v>0</v>
      </c>
      <c r="L339">
        <v>0</v>
      </c>
      <c r="M339">
        <v>0</v>
      </c>
      <c r="N339">
        <v>700</v>
      </c>
      <c r="O339">
        <v>49</v>
      </c>
      <c r="P339" t="s">
        <v>25</v>
      </c>
      <c r="Q339">
        <v>2766869</v>
      </c>
      <c r="R339" t="s">
        <v>26</v>
      </c>
      <c r="S339" t="s">
        <v>27</v>
      </c>
      <c r="T339" t="s">
        <v>60</v>
      </c>
    </row>
    <row r="340" spans="1:20" x14ac:dyDescent="0.3">
      <c r="A340" t="s">
        <v>586</v>
      </c>
      <c r="B340" s="1">
        <v>45775</v>
      </c>
      <c r="C340" s="1" t="s">
        <v>1324</v>
      </c>
      <c r="D340" t="s">
        <v>272</v>
      </c>
      <c r="E340" t="s">
        <v>37</v>
      </c>
      <c r="F340" t="s">
        <v>38</v>
      </c>
      <c r="G340" t="s">
        <v>23</v>
      </c>
      <c r="H340" t="s">
        <v>31</v>
      </c>
      <c r="I340">
        <v>0</v>
      </c>
      <c r="J340">
        <v>0</v>
      </c>
      <c r="K340">
        <v>706462</v>
      </c>
      <c r="L340">
        <v>0</v>
      </c>
      <c r="M340">
        <v>0</v>
      </c>
      <c r="N340">
        <v>562</v>
      </c>
      <c r="O340">
        <v>50</v>
      </c>
      <c r="P340" t="s">
        <v>32</v>
      </c>
      <c r="Q340">
        <v>2789657</v>
      </c>
      <c r="R340" t="s">
        <v>49</v>
      </c>
      <c r="S340" t="s">
        <v>33</v>
      </c>
      <c r="T340" t="s">
        <v>60</v>
      </c>
    </row>
    <row r="341" spans="1:20" x14ac:dyDescent="0.3">
      <c r="A341" t="s">
        <v>587</v>
      </c>
      <c r="B341" s="1">
        <v>45948</v>
      </c>
      <c r="C341" s="1" t="s">
        <v>1330</v>
      </c>
      <c r="D341" t="s">
        <v>588</v>
      </c>
      <c r="E341" t="s">
        <v>55</v>
      </c>
      <c r="F341" t="s">
        <v>44</v>
      </c>
      <c r="G341" t="s">
        <v>39</v>
      </c>
      <c r="H341" t="s">
        <v>52</v>
      </c>
      <c r="I341">
        <v>0</v>
      </c>
      <c r="J341">
        <v>0</v>
      </c>
      <c r="K341">
        <v>0</v>
      </c>
      <c r="L341">
        <v>35447</v>
      </c>
      <c r="M341">
        <v>0</v>
      </c>
      <c r="N341">
        <v>767</v>
      </c>
      <c r="O341">
        <v>39</v>
      </c>
      <c r="P341" t="s">
        <v>25</v>
      </c>
      <c r="Q341">
        <v>426819</v>
      </c>
      <c r="R341" t="s">
        <v>26</v>
      </c>
      <c r="S341" t="s">
        <v>33</v>
      </c>
      <c r="T341" t="s">
        <v>60</v>
      </c>
    </row>
    <row r="342" spans="1:20" x14ac:dyDescent="0.3">
      <c r="A342" t="s">
        <v>589</v>
      </c>
      <c r="B342" s="1">
        <v>45896</v>
      </c>
      <c r="C342" s="1" t="s">
        <v>1328</v>
      </c>
      <c r="D342" t="s">
        <v>406</v>
      </c>
      <c r="E342" t="s">
        <v>77</v>
      </c>
      <c r="F342" t="s">
        <v>22</v>
      </c>
      <c r="G342" t="s">
        <v>23</v>
      </c>
      <c r="H342" t="s">
        <v>40</v>
      </c>
      <c r="I342">
        <v>0</v>
      </c>
      <c r="J342">
        <v>6535</v>
      </c>
      <c r="K342">
        <v>0</v>
      </c>
      <c r="L342">
        <v>0</v>
      </c>
      <c r="M342">
        <v>0</v>
      </c>
      <c r="N342">
        <v>642</v>
      </c>
      <c r="O342">
        <v>31</v>
      </c>
      <c r="P342" t="s">
        <v>32</v>
      </c>
      <c r="Q342">
        <v>2542889</v>
      </c>
      <c r="R342" t="s">
        <v>49</v>
      </c>
      <c r="S342" t="s">
        <v>27</v>
      </c>
      <c r="T342" t="s">
        <v>60</v>
      </c>
    </row>
    <row r="343" spans="1:20" x14ac:dyDescent="0.3">
      <c r="A343" t="s">
        <v>590</v>
      </c>
      <c r="B343" s="1">
        <v>45880</v>
      </c>
      <c r="C343" s="1" t="s">
        <v>1328</v>
      </c>
      <c r="D343" t="s">
        <v>73</v>
      </c>
      <c r="E343" t="s">
        <v>21</v>
      </c>
      <c r="F343" t="s">
        <v>44</v>
      </c>
      <c r="G343" t="s">
        <v>68</v>
      </c>
      <c r="H343" t="s">
        <v>52</v>
      </c>
      <c r="I343">
        <v>0</v>
      </c>
      <c r="J343">
        <v>0</v>
      </c>
      <c r="K343">
        <v>0</v>
      </c>
      <c r="L343">
        <v>40245</v>
      </c>
      <c r="M343">
        <v>0</v>
      </c>
      <c r="N343">
        <v>729</v>
      </c>
      <c r="O343">
        <v>51</v>
      </c>
      <c r="P343" t="s">
        <v>25</v>
      </c>
      <c r="Q343">
        <v>344751</v>
      </c>
      <c r="R343" t="s">
        <v>26</v>
      </c>
      <c r="S343" t="s">
        <v>74</v>
      </c>
      <c r="T343" t="s">
        <v>34</v>
      </c>
    </row>
    <row r="344" spans="1:20" x14ac:dyDescent="0.3">
      <c r="A344" t="s">
        <v>591</v>
      </c>
      <c r="B344" s="1">
        <v>45718</v>
      </c>
      <c r="C344" s="1" t="s">
        <v>1323</v>
      </c>
      <c r="D344" t="s">
        <v>592</v>
      </c>
      <c r="E344" t="s">
        <v>37</v>
      </c>
      <c r="F344" t="s">
        <v>22</v>
      </c>
      <c r="G344" t="s">
        <v>23</v>
      </c>
      <c r="H344" t="s">
        <v>52</v>
      </c>
      <c r="I344">
        <v>0</v>
      </c>
      <c r="J344">
        <v>0</v>
      </c>
      <c r="K344">
        <v>0</v>
      </c>
      <c r="L344">
        <v>41185</v>
      </c>
      <c r="M344">
        <v>0</v>
      </c>
      <c r="N344">
        <v>601</v>
      </c>
      <c r="O344">
        <v>51</v>
      </c>
      <c r="P344" t="s">
        <v>25</v>
      </c>
      <c r="Q344">
        <v>813399</v>
      </c>
      <c r="R344" t="s">
        <v>26</v>
      </c>
      <c r="S344" t="s">
        <v>71</v>
      </c>
      <c r="T344" t="s">
        <v>34</v>
      </c>
    </row>
    <row r="345" spans="1:20" x14ac:dyDescent="0.3">
      <c r="A345" t="s">
        <v>593</v>
      </c>
      <c r="B345" s="1">
        <v>45752</v>
      </c>
      <c r="C345" s="1" t="s">
        <v>1324</v>
      </c>
      <c r="D345" t="s">
        <v>335</v>
      </c>
      <c r="E345" t="s">
        <v>63</v>
      </c>
      <c r="F345" t="s">
        <v>21</v>
      </c>
      <c r="G345" t="s">
        <v>23</v>
      </c>
      <c r="H345" t="s">
        <v>31</v>
      </c>
      <c r="I345">
        <v>0</v>
      </c>
      <c r="J345">
        <v>0</v>
      </c>
      <c r="K345">
        <v>1929446</v>
      </c>
      <c r="L345">
        <v>0</v>
      </c>
      <c r="M345">
        <v>0</v>
      </c>
      <c r="N345">
        <v>761</v>
      </c>
      <c r="O345">
        <v>58</v>
      </c>
      <c r="P345" t="s">
        <v>32</v>
      </c>
      <c r="Q345">
        <v>804857</v>
      </c>
      <c r="R345" t="s">
        <v>49</v>
      </c>
      <c r="S345" t="s">
        <v>33</v>
      </c>
      <c r="T345" t="s">
        <v>34</v>
      </c>
    </row>
    <row r="346" spans="1:20" x14ac:dyDescent="0.3">
      <c r="A346" t="s">
        <v>594</v>
      </c>
      <c r="B346" s="1">
        <v>45666</v>
      </c>
      <c r="C346" s="1" t="s">
        <v>1321</v>
      </c>
      <c r="D346" t="s">
        <v>526</v>
      </c>
      <c r="E346" t="s">
        <v>48</v>
      </c>
      <c r="F346" t="s">
        <v>21</v>
      </c>
      <c r="G346" t="s">
        <v>59</v>
      </c>
      <c r="H346" t="s">
        <v>52</v>
      </c>
      <c r="I346">
        <v>0</v>
      </c>
      <c r="J346">
        <v>0</v>
      </c>
      <c r="K346">
        <v>0</v>
      </c>
      <c r="L346">
        <v>11433</v>
      </c>
      <c r="M346">
        <v>0</v>
      </c>
      <c r="N346">
        <v>509</v>
      </c>
      <c r="O346">
        <v>23</v>
      </c>
      <c r="P346" t="s">
        <v>32</v>
      </c>
      <c r="Q346">
        <v>1621525</v>
      </c>
      <c r="R346" t="s">
        <v>49</v>
      </c>
      <c r="S346" t="s">
        <v>71</v>
      </c>
      <c r="T346" t="s">
        <v>28</v>
      </c>
    </row>
    <row r="347" spans="1:20" x14ac:dyDescent="0.3">
      <c r="A347" t="s">
        <v>595</v>
      </c>
      <c r="B347" s="1">
        <v>45775</v>
      </c>
      <c r="C347" s="1" t="s">
        <v>1324</v>
      </c>
      <c r="D347" t="s">
        <v>283</v>
      </c>
      <c r="E347" t="s">
        <v>21</v>
      </c>
      <c r="F347" t="s">
        <v>44</v>
      </c>
      <c r="G347" t="s">
        <v>39</v>
      </c>
      <c r="H347" t="s">
        <v>24</v>
      </c>
      <c r="I347">
        <v>0</v>
      </c>
      <c r="J347">
        <v>0</v>
      </c>
      <c r="K347">
        <v>0</v>
      </c>
      <c r="L347">
        <v>0</v>
      </c>
      <c r="M347">
        <v>2264.54</v>
      </c>
      <c r="N347">
        <v>883</v>
      </c>
      <c r="O347">
        <v>19</v>
      </c>
      <c r="P347" t="s">
        <v>25</v>
      </c>
      <c r="Q347">
        <v>746515</v>
      </c>
      <c r="R347" t="s">
        <v>49</v>
      </c>
      <c r="S347" t="s">
        <v>27</v>
      </c>
      <c r="T347" t="s">
        <v>41</v>
      </c>
    </row>
    <row r="348" spans="1:20" x14ac:dyDescent="0.3">
      <c r="A348" t="s">
        <v>596</v>
      </c>
      <c r="B348" s="1">
        <v>46002</v>
      </c>
      <c r="C348" s="1" t="s">
        <v>1332</v>
      </c>
      <c r="D348" t="s">
        <v>597</v>
      </c>
      <c r="E348" t="s">
        <v>55</v>
      </c>
      <c r="F348" t="s">
        <v>38</v>
      </c>
      <c r="G348" t="s">
        <v>59</v>
      </c>
      <c r="H348" t="s">
        <v>52</v>
      </c>
      <c r="I348">
        <v>0</v>
      </c>
      <c r="J348">
        <v>0</v>
      </c>
      <c r="K348">
        <v>0</v>
      </c>
      <c r="L348">
        <v>18955</v>
      </c>
      <c r="M348">
        <v>0</v>
      </c>
      <c r="N348">
        <v>430</v>
      </c>
      <c r="O348">
        <v>50</v>
      </c>
      <c r="P348" t="s">
        <v>25</v>
      </c>
      <c r="Q348">
        <v>1680491</v>
      </c>
      <c r="R348" t="s">
        <v>49</v>
      </c>
      <c r="S348" t="s">
        <v>27</v>
      </c>
      <c r="T348" t="s">
        <v>34</v>
      </c>
    </row>
    <row r="349" spans="1:20" x14ac:dyDescent="0.3">
      <c r="A349" t="s">
        <v>598</v>
      </c>
      <c r="B349" s="1">
        <v>45851</v>
      </c>
      <c r="C349" s="1" t="s">
        <v>1327</v>
      </c>
      <c r="D349" t="s">
        <v>36</v>
      </c>
      <c r="E349" t="s">
        <v>77</v>
      </c>
      <c r="F349" t="s">
        <v>21</v>
      </c>
      <c r="G349" t="s">
        <v>68</v>
      </c>
      <c r="H349" t="s">
        <v>24</v>
      </c>
      <c r="I349">
        <v>0</v>
      </c>
      <c r="J349">
        <v>0</v>
      </c>
      <c r="K349">
        <v>0</v>
      </c>
      <c r="L349">
        <v>0</v>
      </c>
      <c r="M349">
        <v>5699.99</v>
      </c>
      <c r="N349">
        <v>770</v>
      </c>
      <c r="O349">
        <v>30</v>
      </c>
      <c r="P349" t="s">
        <v>25</v>
      </c>
      <c r="Q349">
        <v>2850496</v>
      </c>
      <c r="R349" t="s">
        <v>26</v>
      </c>
      <c r="S349" t="s">
        <v>27</v>
      </c>
      <c r="T349" t="s">
        <v>28</v>
      </c>
    </row>
    <row r="350" spans="1:20" x14ac:dyDescent="0.3">
      <c r="A350" t="s">
        <v>599</v>
      </c>
      <c r="B350" s="1">
        <v>45832</v>
      </c>
      <c r="C350" s="1" t="s">
        <v>1326</v>
      </c>
      <c r="D350" t="s">
        <v>171</v>
      </c>
      <c r="E350" t="s">
        <v>48</v>
      </c>
      <c r="F350" t="s">
        <v>64</v>
      </c>
      <c r="G350" t="s">
        <v>23</v>
      </c>
      <c r="H350" t="s">
        <v>52</v>
      </c>
      <c r="I350">
        <v>0</v>
      </c>
      <c r="J350">
        <v>0</v>
      </c>
      <c r="K350">
        <v>0</v>
      </c>
      <c r="L350">
        <v>2493</v>
      </c>
      <c r="M350">
        <v>0</v>
      </c>
      <c r="N350">
        <v>547</v>
      </c>
      <c r="O350">
        <v>35</v>
      </c>
      <c r="P350" t="s">
        <v>32</v>
      </c>
      <c r="Q350">
        <v>2725983</v>
      </c>
      <c r="R350" t="s">
        <v>49</v>
      </c>
      <c r="S350" t="s">
        <v>33</v>
      </c>
      <c r="T350" t="s">
        <v>60</v>
      </c>
    </row>
    <row r="351" spans="1:20" x14ac:dyDescent="0.3">
      <c r="A351" t="s">
        <v>600</v>
      </c>
      <c r="B351" s="1">
        <v>45681</v>
      </c>
      <c r="C351" s="1" t="s">
        <v>1321</v>
      </c>
      <c r="D351" t="s">
        <v>601</v>
      </c>
      <c r="E351" t="s">
        <v>77</v>
      </c>
      <c r="F351" t="s">
        <v>21</v>
      </c>
      <c r="G351" t="s">
        <v>23</v>
      </c>
      <c r="H351" t="s">
        <v>31</v>
      </c>
      <c r="I351">
        <v>0</v>
      </c>
      <c r="J351">
        <v>0</v>
      </c>
      <c r="K351">
        <v>1140189</v>
      </c>
      <c r="L351">
        <v>0</v>
      </c>
      <c r="M351">
        <v>0</v>
      </c>
      <c r="N351">
        <v>730</v>
      </c>
      <c r="O351">
        <v>26</v>
      </c>
      <c r="P351" t="s">
        <v>32</v>
      </c>
      <c r="Q351">
        <v>2041108</v>
      </c>
      <c r="R351" t="s">
        <v>26</v>
      </c>
      <c r="S351" t="s">
        <v>33</v>
      </c>
      <c r="T351" t="s">
        <v>60</v>
      </c>
    </row>
    <row r="352" spans="1:20" x14ac:dyDescent="0.3">
      <c r="A352" t="s">
        <v>602</v>
      </c>
      <c r="B352" s="1">
        <v>45674</v>
      </c>
      <c r="C352" s="1" t="s">
        <v>1321</v>
      </c>
      <c r="D352" t="s">
        <v>237</v>
      </c>
      <c r="E352" t="s">
        <v>77</v>
      </c>
      <c r="F352" t="s">
        <v>44</v>
      </c>
      <c r="G352" t="s">
        <v>68</v>
      </c>
      <c r="H352" t="s">
        <v>56</v>
      </c>
      <c r="I352">
        <v>8353</v>
      </c>
      <c r="J352">
        <v>0</v>
      </c>
      <c r="K352">
        <v>0</v>
      </c>
      <c r="L352">
        <v>0</v>
      </c>
      <c r="M352">
        <v>0</v>
      </c>
      <c r="N352">
        <v>808</v>
      </c>
      <c r="O352">
        <v>57</v>
      </c>
      <c r="P352" t="s">
        <v>32</v>
      </c>
      <c r="Q352">
        <v>1901709</v>
      </c>
      <c r="R352" t="s">
        <v>49</v>
      </c>
      <c r="S352" t="s">
        <v>27</v>
      </c>
      <c r="T352" t="s">
        <v>45</v>
      </c>
    </row>
    <row r="353" spans="1:20" x14ac:dyDescent="0.3">
      <c r="A353" t="s">
        <v>603</v>
      </c>
      <c r="B353" s="1">
        <v>45941</v>
      </c>
      <c r="C353" s="1" t="s">
        <v>1330</v>
      </c>
      <c r="D353" t="s">
        <v>604</v>
      </c>
      <c r="E353" t="s">
        <v>48</v>
      </c>
      <c r="F353" t="s">
        <v>38</v>
      </c>
      <c r="G353" t="s">
        <v>68</v>
      </c>
      <c r="H353" t="s">
        <v>52</v>
      </c>
      <c r="I353">
        <v>0</v>
      </c>
      <c r="J353">
        <v>0</v>
      </c>
      <c r="K353">
        <v>0</v>
      </c>
      <c r="L353">
        <v>47430</v>
      </c>
      <c r="M353">
        <v>0</v>
      </c>
      <c r="N353">
        <v>539</v>
      </c>
      <c r="O353">
        <v>43</v>
      </c>
      <c r="P353" t="s">
        <v>32</v>
      </c>
      <c r="Q353">
        <v>2643806</v>
      </c>
      <c r="R353" t="s">
        <v>49</v>
      </c>
      <c r="S353" t="s">
        <v>74</v>
      </c>
      <c r="T353" t="s">
        <v>28</v>
      </c>
    </row>
    <row r="354" spans="1:20" x14ac:dyDescent="0.3">
      <c r="A354" t="s">
        <v>605</v>
      </c>
      <c r="B354" s="1">
        <v>45995</v>
      </c>
      <c r="C354" s="1" t="s">
        <v>1332</v>
      </c>
      <c r="D354" t="s">
        <v>606</v>
      </c>
      <c r="E354" t="s">
        <v>21</v>
      </c>
      <c r="F354" t="s">
        <v>64</v>
      </c>
      <c r="G354" t="s">
        <v>23</v>
      </c>
      <c r="H354" t="s">
        <v>40</v>
      </c>
      <c r="I354">
        <v>0</v>
      </c>
      <c r="J354">
        <v>25567</v>
      </c>
      <c r="K354">
        <v>0</v>
      </c>
      <c r="L354">
        <v>0</v>
      </c>
      <c r="M354">
        <v>0</v>
      </c>
      <c r="N354">
        <v>873</v>
      </c>
      <c r="O354">
        <v>36</v>
      </c>
      <c r="P354" t="s">
        <v>25</v>
      </c>
      <c r="Q354">
        <v>663207</v>
      </c>
      <c r="R354" t="s">
        <v>26</v>
      </c>
      <c r="S354" t="s">
        <v>27</v>
      </c>
      <c r="T354" t="s">
        <v>45</v>
      </c>
    </row>
    <row r="355" spans="1:20" x14ac:dyDescent="0.3">
      <c r="A355" t="s">
        <v>607</v>
      </c>
      <c r="B355" s="1">
        <v>45809</v>
      </c>
      <c r="C355" s="1" t="s">
        <v>1326</v>
      </c>
      <c r="D355" t="s">
        <v>217</v>
      </c>
      <c r="E355" t="s">
        <v>48</v>
      </c>
      <c r="F355" t="s">
        <v>38</v>
      </c>
      <c r="G355" t="s">
        <v>68</v>
      </c>
      <c r="H355" t="s">
        <v>56</v>
      </c>
      <c r="I355">
        <v>165345</v>
      </c>
      <c r="J355">
        <v>0</v>
      </c>
      <c r="K355">
        <v>0</v>
      </c>
      <c r="L355">
        <v>0</v>
      </c>
      <c r="M355">
        <v>0</v>
      </c>
      <c r="N355">
        <v>390</v>
      </c>
      <c r="O355">
        <v>25</v>
      </c>
      <c r="P355" t="s">
        <v>25</v>
      </c>
      <c r="Q355">
        <v>2578115</v>
      </c>
      <c r="R355" t="s">
        <v>49</v>
      </c>
      <c r="S355" t="s">
        <v>27</v>
      </c>
      <c r="T355" t="s">
        <v>34</v>
      </c>
    </row>
    <row r="356" spans="1:20" x14ac:dyDescent="0.3">
      <c r="A356" t="s">
        <v>608</v>
      </c>
      <c r="B356" s="1">
        <v>45883</v>
      </c>
      <c r="C356" s="1" t="s">
        <v>1328</v>
      </c>
      <c r="D356" t="s">
        <v>213</v>
      </c>
      <c r="E356" t="s">
        <v>77</v>
      </c>
      <c r="F356" t="s">
        <v>21</v>
      </c>
      <c r="G356" t="s">
        <v>23</v>
      </c>
      <c r="H356" t="s">
        <v>31</v>
      </c>
      <c r="I356">
        <v>0</v>
      </c>
      <c r="J356">
        <v>0</v>
      </c>
      <c r="K356">
        <v>1001668</v>
      </c>
      <c r="L356">
        <v>0</v>
      </c>
      <c r="M356">
        <v>0</v>
      </c>
      <c r="N356">
        <v>360</v>
      </c>
      <c r="O356">
        <v>34</v>
      </c>
      <c r="P356" t="s">
        <v>32</v>
      </c>
      <c r="Q356">
        <v>2464720</v>
      </c>
      <c r="R356" t="s">
        <v>26</v>
      </c>
      <c r="S356" t="s">
        <v>65</v>
      </c>
      <c r="T356" t="s">
        <v>34</v>
      </c>
    </row>
    <row r="357" spans="1:20" x14ac:dyDescent="0.3">
      <c r="A357" t="s">
        <v>609</v>
      </c>
      <c r="B357" s="1">
        <v>45700</v>
      </c>
      <c r="C357" s="1" t="s">
        <v>1322</v>
      </c>
      <c r="D357" t="s">
        <v>392</v>
      </c>
      <c r="E357" t="s">
        <v>37</v>
      </c>
      <c r="F357" t="s">
        <v>38</v>
      </c>
      <c r="G357" t="s">
        <v>23</v>
      </c>
      <c r="H357" t="s">
        <v>56</v>
      </c>
      <c r="I357">
        <v>19079</v>
      </c>
      <c r="J357">
        <v>0</v>
      </c>
      <c r="K357">
        <v>0</v>
      </c>
      <c r="L357">
        <v>0</v>
      </c>
      <c r="M357">
        <v>0</v>
      </c>
      <c r="N357">
        <v>614</v>
      </c>
      <c r="O357">
        <v>23</v>
      </c>
      <c r="P357" t="s">
        <v>25</v>
      </c>
      <c r="Q357">
        <v>1023016</v>
      </c>
      <c r="R357" t="s">
        <v>26</v>
      </c>
      <c r="S357" t="s">
        <v>27</v>
      </c>
      <c r="T357" t="s">
        <v>28</v>
      </c>
    </row>
    <row r="358" spans="1:20" x14ac:dyDescent="0.3">
      <c r="A358" t="s">
        <v>610</v>
      </c>
      <c r="B358" s="1">
        <v>45835</v>
      </c>
      <c r="C358" s="1" t="s">
        <v>1326</v>
      </c>
      <c r="D358" t="s">
        <v>152</v>
      </c>
      <c r="E358" t="s">
        <v>63</v>
      </c>
      <c r="F358" t="s">
        <v>44</v>
      </c>
      <c r="G358" t="s">
        <v>39</v>
      </c>
      <c r="H358" t="s">
        <v>31</v>
      </c>
      <c r="I358">
        <v>0</v>
      </c>
      <c r="J358">
        <v>0</v>
      </c>
      <c r="K358">
        <v>1512437</v>
      </c>
      <c r="L358">
        <v>0</v>
      </c>
      <c r="M358">
        <v>0</v>
      </c>
      <c r="N358">
        <v>447</v>
      </c>
      <c r="O358">
        <v>23</v>
      </c>
      <c r="P358" t="s">
        <v>25</v>
      </c>
      <c r="Q358">
        <v>1348151</v>
      </c>
      <c r="R358" t="s">
        <v>26</v>
      </c>
      <c r="S358" t="s">
        <v>65</v>
      </c>
      <c r="T358" t="s">
        <v>34</v>
      </c>
    </row>
    <row r="359" spans="1:20" x14ac:dyDescent="0.3">
      <c r="A359" t="s">
        <v>611</v>
      </c>
      <c r="B359" s="1">
        <v>45703</v>
      </c>
      <c r="C359" s="1" t="s">
        <v>1322</v>
      </c>
      <c r="D359" t="s">
        <v>462</v>
      </c>
      <c r="E359" t="s">
        <v>48</v>
      </c>
      <c r="F359" t="s">
        <v>38</v>
      </c>
      <c r="G359" t="s">
        <v>39</v>
      </c>
      <c r="H359" t="s">
        <v>52</v>
      </c>
      <c r="I359">
        <v>0</v>
      </c>
      <c r="J359">
        <v>0</v>
      </c>
      <c r="K359">
        <v>0</v>
      </c>
      <c r="L359">
        <v>18480</v>
      </c>
      <c r="M359">
        <v>0</v>
      </c>
      <c r="N359">
        <v>847</v>
      </c>
      <c r="O359">
        <v>62</v>
      </c>
      <c r="P359" t="s">
        <v>25</v>
      </c>
      <c r="Q359">
        <v>2164075</v>
      </c>
      <c r="R359" t="s">
        <v>49</v>
      </c>
      <c r="S359" t="s">
        <v>33</v>
      </c>
      <c r="T359" t="s">
        <v>60</v>
      </c>
    </row>
    <row r="360" spans="1:20" x14ac:dyDescent="0.3">
      <c r="A360" t="s">
        <v>612</v>
      </c>
      <c r="B360" s="1">
        <v>45728</v>
      </c>
      <c r="C360" s="1" t="s">
        <v>1323</v>
      </c>
      <c r="D360" t="s">
        <v>613</v>
      </c>
      <c r="E360" t="s">
        <v>48</v>
      </c>
      <c r="F360" t="s">
        <v>22</v>
      </c>
      <c r="G360" t="s">
        <v>68</v>
      </c>
      <c r="H360" t="s">
        <v>31</v>
      </c>
      <c r="I360">
        <v>0</v>
      </c>
      <c r="J360">
        <v>0</v>
      </c>
      <c r="K360">
        <v>301211</v>
      </c>
      <c r="L360">
        <v>0</v>
      </c>
      <c r="M360">
        <v>0</v>
      </c>
      <c r="N360">
        <v>823</v>
      </c>
      <c r="O360">
        <v>56</v>
      </c>
      <c r="P360" t="s">
        <v>25</v>
      </c>
      <c r="Q360">
        <v>2798250</v>
      </c>
      <c r="R360" t="s">
        <v>26</v>
      </c>
      <c r="S360" t="s">
        <v>65</v>
      </c>
      <c r="T360" t="s">
        <v>28</v>
      </c>
    </row>
    <row r="361" spans="1:20" x14ac:dyDescent="0.3">
      <c r="A361" t="s">
        <v>614</v>
      </c>
      <c r="B361" s="1">
        <v>45917</v>
      </c>
      <c r="C361" s="1" t="s">
        <v>1329</v>
      </c>
      <c r="D361" t="s">
        <v>615</v>
      </c>
      <c r="E361" t="s">
        <v>37</v>
      </c>
      <c r="F361" t="s">
        <v>44</v>
      </c>
      <c r="G361" t="s">
        <v>23</v>
      </c>
      <c r="H361" t="s">
        <v>40</v>
      </c>
      <c r="I361">
        <v>0</v>
      </c>
      <c r="J361">
        <v>38687</v>
      </c>
      <c r="K361">
        <v>0</v>
      </c>
      <c r="L361">
        <v>0</v>
      </c>
      <c r="M361">
        <v>0</v>
      </c>
      <c r="N361">
        <v>578</v>
      </c>
      <c r="O361">
        <v>37</v>
      </c>
      <c r="P361" t="s">
        <v>25</v>
      </c>
      <c r="Q361">
        <v>2762218</v>
      </c>
      <c r="R361" t="s">
        <v>26</v>
      </c>
      <c r="S361" t="s">
        <v>27</v>
      </c>
      <c r="T361" t="s">
        <v>41</v>
      </c>
    </row>
    <row r="362" spans="1:20" x14ac:dyDescent="0.3">
      <c r="A362" t="s">
        <v>616</v>
      </c>
      <c r="B362" s="1">
        <v>45898</v>
      </c>
      <c r="C362" s="1" t="s">
        <v>1328</v>
      </c>
      <c r="D362" t="s">
        <v>179</v>
      </c>
      <c r="E362" t="s">
        <v>48</v>
      </c>
      <c r="F362" t="s">
        <v>64</v>
      </c>
      <c r="G362" t="s">
        <v>23</v>
      </c>
      <c r="H362" t="s">
        <v>40</v>
      </c>
      <c r="I362">
        <v>0</v>
      </c>
      <c r="J362">
        <v>42504</v>
      </c>
      <c r="K362">
        <v>0</v>
      </c>
      <c r="L362">
        <v>0</v>
      </c>
      <c r="M362">
        <v>0</v>
      </c>
      <c r="N362">
        <v>696</v>
      </c>
      <c r="O362">
        <v>44</v>
      </c>
      <c r="P362" t="s">
        <v>25</v>
      </c>
      <c r="Q362">
        <v>2784340</v>
      </c>
      <c r="R362" t="s">
        <v>49</v>
      </c>
      <c r="S362" t="s">
        <v>27</v>
      </c>
      <c r="T362" t="s">
        <v>41</v>
      </c>
    </row>
    <row r="363" spans="1:20" x14ac:dyDescent="0.3">
      <c r="A363" t="s">
        <v>617</v>
      </c>
      <c r="B363" s="1">
        <v>46013</v>
      </c>
      <c r="C363" s="1" t="s">
        <v>1332</v>
      </c>
      <c r="D363" t="s">
        <v>509</v>
      </c>
      <c r="E363" t="s">
        <v>55</v>
      </c>
      <c r="F363" t="s">
        <v>21</v>
      </c>
      <c r="G363" t="s">
        <v>23</v>
      </c>
      <c r="H363" t="s">
        <v>24</v>
      </c>
      <c r="I363">
        <v>0</v>
      </c>
      <c r="J363">
        <v>0</v>
      </c>
      <c r="K363">
        <v>0</v>
      </c>
      <c r="L363">
        <v>0</v>
      </c>
      <c r="M363">
        <v>7574.2</v>
      </c>
      <c r="N363">
        <v>379</v>
      </c>
      <c r="O363">
        <v>58</v>
      </c>
      <c r="P363" t="s">
        <v>32</v>
      </c>
      <c r="Q363">
        <v>2058779</v>
      </c>
      <c r="R363" t="s">
        <v>26</v>
      </c>
      <c r="S363" t="s">
        <v>27</v>
      </c>
      <c r="T363" t="s">
        <v>28</v>
      </c>
    </row>
    <row r="364" spans="1:20" x14ac:dyDescent="0.3">
      <c r="A364" t="s">
        <v>618</v>
      </c>
      <c r="B364" s="1">
        <v>45836</v>
      </c>
      <c r="C364" s="1" t="s">
        <v>1326</v>
      </c>
      <c r="D364" t="s">
        <v>305</v>
      </c>
      <c r="E364" t="s">
        <v>77</v>
      </c>
      <c r="F364" t="s">
        <v>44</v>
      </c>
      <c r="G364" t="s">
        <v>68</v>
      </c>
      <c r="H364" t="s">
        <v>31</v>
      </c>
      <c r="I364">
        <v>0</v>
      </c>
      <c r="J364">
        <v>0</v>
      </c>
      <c r="K364">
        <v>1725818</v>
      </c>
      <c r="L364">
        <v>0</v>
      </c>
      <c r="M364">
        <v>0</v>
      </c>
      <c r="N364">
        <v>688</v>
      </c>
      <c r="O364">
        <v>67</v>
      </c>
      <c r="P364" t="s">
        <v>32</v>
      </c>
      <c r="Q364">
        <v>2968557</v>
      </c>
      <c r="R364" t="s">
        <v>26</v>
      </c>
      <c r="S364" t="s">
        <v>65</v>
      </c>
      <c r="T364" t="s">
        <v>45</v>
      </c>
    </row>
    <row r="365" spans="1:20" x14ac:dyDescent="0.3">
      <c r="A365" t="s">
        <v>619</v>
      </c>
      <c r="B365" s="1">
        <v>46006</v>
      </c>
      <c r="C365" s="1" t="s">
        <v>1332</v>
      </c>
      <c r="D365" t="s">
        <v>620</v>
      </c>
      <c r="E365" t="s">
        <v>55</v>
      </c>
      <c r="F365" t="s">
        <v>21</v>
      </c>
      <c r="G365" t="s">
        <v>39</v>
      </c>
      <c r="H365" t="s">
        <v>31</v>
      </c>
      <c r="I365">
        <v>0</v>
      </c>
      <c r="J365">
        <v>0</v>
      </c>
      <c r="K365">
        <v>699556</v>
      </c>
      <c r="L365">
        <v>0</v>
      </c>
      <c r="M365">
        <v>0</v>
      </c>
      <c r="N365">
        <v>526</v>
      </c>
      <c r="O365">
        <v>56</v>
      </c>
      <c r="P365" t="s">
        <v>32</v>
      </c>
      <c r="Q365">
        <v>1033303</v>
      </c>
      <c r="R365" t="s">
        <v>49</v>
      </c>
      <c r="S365" t="s">
        <v>33</v>
      </c>
      <c r="T365" t="s">
        <v>41</v>
      </c>
    </row>
    <row r="366" spans="1:20" x14ac:dyDescent="0.3">
      <c r="A366" t="s">
        <v>621</v>
      </c>
      <c r="B366" s="1">
        <v>45733</v>
      </c>
      <c r="C366" s="1" t="s">
        <v>1323</v>
      </c>
      <c r="D366" t="s">
        <v>622</v>
      </c>
      <c r="E366" t="s">
        <v>77</v>
      </c>
      <c r="F366" t="s">
        <v>21</v>
      </c>
      <c r="G366" t="s">
        <v>68</v>
      </c>
      <c r="H366" t="s">
        <v>40</v>
      </c>
      <c r="I366">
        <v>0</v>
      </c>
      <c r="J366">
        <v>60043</v>
      </c>
      <c r="K366">
        <v>0</v>
      </c>
      <c r="L366">
        <v>0</v>
      </c>
      <c r="M366">
        <v>0</v>
      </c>
      <c r="N366">
        <v>336</v>
      </c>
      <c r="O366">
        <v>50</v>
      </c>
      <c r="P366" t="s">
        <v>32</v>
      </c>
      <c r="Q366">
        <v>2228830</v>
      </c>
      <c r="R366" t="s">
        <v>26</v>
      </c>
      <c r="S366" t="s">
        <v>27</v>
      </c>
      <c r="T366" t="s">
        <v>45</v>
      </c>
    </row>
    <row r="367" spans="1:20" x14ac:dyDescent="0.3">
      <c r="A367" t="s">
        <v>623</v>
      </c>
      <c r="B367" s="1">
        <v>45997</v>
      </c>
      <c r="C367" s="1" t="s">
        <v>1332</v>
      </c>
      <c r="D367" t="s">
        <v>281</v>
      </c>
      <c r="E367" t="s">
        <v>77</v>
      </c>
      <c r="F367" t="s">
        <v>64</v>
      </c>
      <c r="G367" t="s">
        <v>59</v>
      </c>
      <c r="H367" t="s">
        <v>40</v>
      </c>
      <c r="I367">
        <v>0</v>
      </c>
      <c r="J367">
        <v>79080</v>
      </c>
      <c r="K367">
        <v>0</v>
      </c>
      <c r="L367">
        <v>0</v>
      </c>
      <c r="M367">
        <v>0</v>
      </c>
      <c r="N367">
        <v>850</v>
      </c>
      <c r="O367">
        <v>30</v>
      </c>
      <c r="P367" t="s">
        <v>25</v>
      </c>
      <c r="Q367">
        <v>1701970</v>
      </c>
      <c r="R367" t="s">
        <v>49</v>
      </c>
      <c r="S367" t="s">
        <v>27</v>
      </c>
      <c r="T367" t="s">
        <v>28</v>
      </c>
    </row>
    <row r="368" spans="1:20" x14ac:dyDescent="0.3">
      <c r="A368" t="s">
        <v>624</v>
      </c>
      <c r="B368" s="1">
        <v>45884</v>
      </c>
      <c r="C368" s="1" t="s">
        <v>1328</v>
      </c>
      <c r="D368" t="s">
        <v>625</v>
      </c>
      <c r="E368" t="s">
        <v>55</v>
      </c>
      <c r="F368" t="s">
        <v>44</v>
      </c>
      <c r="G368" t="s">
        <v>59</v>
      </c>
      <c r="H368" t="s">
        <v>31</v>
      </c>
      <c r="I368">
        <v>0</v>
      </c>
      <c r="J368">
        <v>0</v>
      </c>
      <c r="K368">
        <v>286760</v>
      </c>
      <c r="L368">
        <v>0</v>
      </c>
      <c r="M368">
        <v>0</v>
      </c>
      <c r="N368">
        <v>301</v>
      </c>
      <c r="O368">
        <v>22</v>
      </c>
      <c r="P368" t="s">
        <v>25</v>
      </c>
      <c r="Q368">
        <v>1223177</v>
      </c>
      <c r="R368" t="s">
        <v>26</v>
      </c>
      <c r="S368" t="s">
        <v>33</v>
      </c>
      <c r="T368" t="s">
        <v>28</v>
      </c>
    </row>
    <row r="369" spans="1:20" x14ac:dyDescent="0.3">
      <c r="A369" t="s">
        <v>626</v>
      </c>
      <c r="B369" s="1">
        <v>45692</v>
      </c>
      <c r="C369" s="1" t="s">
        <v>1322</v>
      </c>
      <c r="D369" t="s">
        <v>627</v>
      </c>
      <c r="E369" t="s">
        <v>77</v>
      </c>
      <c r="F369" t="s">
        <v>22</v>
      </c>
      <c r="G369" t="s">
        <v>59</v>
      </c>
      <c r="H369" t="s">
        <v>24</v>
      </c>
      <c r="I369">
        <v>0</v>
      </c>
      <c r="J369">
        <v>0</v>
      </c>
      <c r="K369">
        <v>0</v>
      </c>
      <c r="L369">
        <v>0</v>
      </c>
      <c r="M369">
        <v>8910.0300000000007</v>
      </c>
      <c r="N369">
        <v>410</v>
      </c>
      <c r="O369">
        <v>50</v>
      </c>
      <c r="P369" t="s">
        <v>25</v>
      </c>
      <c r="Q369">
        <v>2323252</v>
      </c>
      <c r="R369" t="s">
        <v>49</v>
      </c>
      <c r="S369" t="s">
        <v>27</v>
      </c>
      <c r="T369" t="s">
        <v>28</v>
      </c>
    </row>
    <row r="370" spans="1:20" x14ac:dyDescent="0.3">
      <c r="A370" t="s">
        <v>628</v>
      </c>
      <c r="B370" s="1">
        <v>45960</v>
      </c>
      <c r="C370" s="1" t="s">
        <v>1330</v>
      </c>
      <c r="D370" t="s">
        <v>629</v>
      </c>
      <c r="E370" t="s">
        <v>77</v>
      </c>
      <c r="F370" t="s">
        <v>44</v>
      </c>
      <c r="G370" t="s">
        <v>23</v>
      </c>
      <c r="H370" t="s">
        <v>52</v>
      </c>
      <c r="I370">
        <v>0</v>
      </c>
      <c r="J370">
        <v>0</v>
      </c>
      <c r="K370">
        <v>0</v>
      </c>
      <c r="L370">
        <v>2914</v>
      </c>
      <c r="M370">
        <v>0</v>
      </c>
      <c r="N370">
        <v>874</v>
      </c>
      <c r="O370">
        <v>65</v>
      </c>
      <c r="P370" t="s">
        <v>25</v>
      </c>
      <c r="Q370">
        <v>2494868</v>
      </c>
      <c r="R370" t="s">
        <v>49</v>
      </c>
      <c r="S370" t="s">
        <v>74</v>
      </c>
      <c r="T370" t="s">
        <v>28</v>
      </c>
    </row>
    <row r="371" spans="1:20" x14ac:dyDescent="0.3">
      <c r="A371" t="s">
        <v>630</v>
      </c>
      <c r="B371" s="1">
        <v>45781</v>
      </c>
      <c r="C371" s="1" t="s">
        <v>1325</v>
      </c>
      <c r="D371" t="s">
        <v>631</v>
      </c>
      <c r="E371" t="s">
        <v>48</v>
      </c>
      <c r="F371" t="s">
        <v>64</v>
      </c>
      <c r="G371" t="s">
        <v>68</v>
      </c>
      <c r="H371" t="s">
        <v>24</v>
      </c>
      <c r="I371">
        <v>0</v>
      </c>
      <c r="J371">
        <v>0</v>
      </c>
      <c r="K371">
        <v>0</v>
      </c>
      <c r="L371">
        <v>0</v>
      </c>
      <c r="M371">
        <v>8149.21</v>
      </c>
      <c r="N371">
        <v>485</v>
      </c>
      <c r="O371">
        <v>34</v>
      </c>
      <c r="P371" t="s">
        <v>25</v>
      </c>
      <c r="Q371">
        <v>1979231</v>
      </c>
      <c r="R371" t="s">
        <v>26</v>
      </c>
      <c r="S371" t="s">
        <v>27</v>
      </c>
      <c r="T371" t="s">
        <v>45</v>
      </c>
    </row>
    <row r="372" spans="1:20" x14ac:dyDescent="0.3">
      <c r="A372" t="s">
        <v>632</v>
      </c>
      <c r="B372" s="1">
        <v>45923</v>
      </c>
      <c r="C372" s="1" t="s">
        <v>1329</v>
      </c>
      <c r="D372" t="s">
        <v>633</v>
      </c>
      <c r="E372" t="s">
        <v>21</v>
      </c>
      <c r="F372" t="s">
        <v>38</v>
      </c>
      <c r="G372" t="s">
        <v>23</v>
      </c>
      <c r="H372" t="s">
        <v>24</v>
      </c>
      <c r="I372">
        <v>0</v>
      </c>
      <c r="J372">
        <v>0</v>
      </c>
      <c r="K372">
        <v>0</v>
      </c>
      <c r="L372">
        <v>0</v>
      </c>
      <c r="M372">
        <v>383.92</v>
      </c>
      <c r="N372">
        <v>646</v>
      </c>
      <c r="O372">
        <v>50</v>
      </c>
      <c r="P372" t="s">
        <v>25</v>
      </c>
      <c r="Q372">
        <v>1559906</v>
      </c>
      <c r="R372" t="s">
        <v>26</v>
      </c>
      <c r="S372" t="s">
        <v>27</v>
      </c>
      <c r="T372" t="s">
        <v>45</v>
      </c>
    </row>
    <row r="373" spans="1:20" x14ac:dyDescent="0.3">
      <c r="A373" t="s">
        <v>634</v>
      </c>
      <c r="B373" s="1">
        <v>45993</v>
      </c>
      <c r="C373" s="1" t="s">
        <v>1332</v>
      </c>
      <c r="D373" t="s">
        <v>134</v>
      </c>
      <c r="E373" t="s">
        <v>77</v>
      </c>
      <c r="F373" t="s">
        <v>64</v>
      </c>
      <c r="G373" t="s">
        <v>39</v>
      </c>
      <c r="H373" t="s">
        <v>24</v>
      </c>
      <c r="I373">
        <v>0</v>
      </c>
      <c r="J373">
        <v>0</v>
      </c>
      <c r="K373">
        <v>0</v>
      </c>
      <c r="L373">
        <v>0</v>
      </c>
      <c r="M373">
        <v>76.63</v>
      </c>
      <c r="N373">
        <v>458</v>
      </c>
      <c r="O373">
        <v>50</v>
      </c>
      <c r="P373" t="s">
        <v>25</v>
      </c>
      <c r="Q373">
        <v>811598</v>
      </c>
      <c r="R373" t="s">
        <v>49</v>
      </c>
      <c r="S373" t="s">
        <v>27</v>
      </c>
      <c r="T373" t="s">
        <v>60</v>
      </c>
    </row>
    <row r="374" spans="1:20" x14ac:dyDescent="0.3">
      <c r="A374" t="s">
        <v>635</v>
      </c>
      <c r="B374" s="1">
        <v>45779</v>
      </c>
      <c r="C374" s="1" t="s">
        <v>1325</v>
      </c>
      <c r="D374" t="s">
        <v>337</v>
      </c>
      <c r="E374" t="s">
        <v>21</v>
      </c>
      <c r="F374" t="s">
        <v>22</v>
      </c>
      <c r="G374" t="s">
        <v>23</v>
      </c>
      <c r="H374" t="s">
        <v>56</v>
      </c>
      <c r="I374">
        <v>176680</v>
      </c>
      <c r="J374">
        <v>0</v>
      </c>
      <c r="K374">
        <v>0</v>
      </c>
      <c r="L374">
        <v>0</v>
      </c>
      <c r="M374">
        <v>0</v>
      </c>
      <c r="N374">
        <v>749</v>
      </c>
      <c r="O374">
        <v>58</v>
      </c>
      <c r="P374" t="s">
        <v>25</v>
      </c>
      <c r="Q374">
        <v>1785391</v>
      </c>
      <c r="R374" t="s">
        <v>49</v>
      </c>
      <c r="S374" t="s">
        <v>27</v>
      </c>
      <c r="T374" t="s">
        <v>60</v>
      </c>
    </row>
    <row r="375" spans="1:20" x14ac:dyDescent="0.3">
      <c r="A375" t="s">
        <v>636</v>
      </c>
      <c r="B375" s="1">
        <v>45960</v>
      </c>
      <c r="C375" s="1" t="s">
        <v>1330</v>
      </c>
      <c r="D375" t="s">
        <v>76</v>
      </c>
      <c r="E375" t="s">
        <v>77</v>
      </c>
      <c r="F375" t="s">
        <v>22</v>
      </c>
      <c r="G375" t="s">
        <v>39</v>
      </c>
      <c r="H375" t="s">
        <v>31</v>
      </c>
      <c r="I375">
        <v>0</v>
      </c>
      <c r="J375">
        <v>0</v>
      </c>
      <c r="K375">
        <v>1474550</v>
      </c>
      <c r="L375">
        <v>0</v>
      </c>
      <c r="M375">
        <v>0</v>
      </c>
      <c r="N375">
        <v>760</v>
      </c>
      <c r="O375">
        <v>68</v>
      </c>
      <c r="P375" t="s">
        <v>25</v>
      </c>
      <c r="Q375">
        <v>1060874</v>
      </c>
      <c r="R375" t="s">
        <v>49</v>
      </c>
      <c r="S375" t="s">
        <v>65</v>
      </c>
      <c r="T375" t="s">
        <v>28</v>
      </c>
    </row>
    <row r="376" spans="1:20" x14ac:dyDescent="0.3">
      <c r="A376" t="s">
        <v>637</v>
      </c>
      <c r="B376" s="1">
        <v>45677</v>
      </c>
      <c r="C376" s="1" t="s">
        <v>1321</v>
      </c>
      <c r="D376" t="s">
        <v>443</v>
      </c>
      <c r="E376" t="s">
        <v>77</v>
      </c>
      <c r="F376" t="s">
        <v>21</v>
      </c>
      <c r="G376" t="s">
        <v>23</v>
      </c>
      <c r="H376" t="s">
        <v>56</v>
      </c>
      <c r="I376">
        <v>62835</v>
      </c>
      <c r="J376">
        <v>0</v>
      </c>
      <c r="K376">
        <v>0</v>
      </c>
      <c r="L376">
        <v>0</v>
      </c>
      <c r="M376">
        <v>0</v>
      </c>
      <c r="N376">
        <v>653</v>
      </c>
      <c r="O376">
        <v>64</v>
      </c>
      <c r="P376" t="s">
        <v>32</v>
      </c>
      <c r="Q376">
        <v>1601050</v>
      </c>
      <c r="R376" t="s">
        <v>49</v>
      </c>
      <c r="S376" t="s">
        <v>27</v>
      </c>
      <c r="T376" t="s">
        <v>45</v>
      </c>
    </row>
    <row r="377" spans="1:20" x14ac:dyDescent="0.3">
      <c r="A377" t="s">
        <v>638</v>
      </c>
      <c r="B377" s="1">
        <v>45838</v>
      </c>
      <c r="C377" s="1" t="s">
        <v>1326</v>
      </c>
      <c r="D377" t="s">
        <v>535</v>
      </c>
      <c r="E377" t="s">
        <v>37</v>
      </c>
      <c r="F377" t="s">
        <v>38</v>
      </c>
      <c r="G377" t="s">
        <v>59</v>
      </c>
      <c r="H377" t="s">
        <v>56</v>
      </c>
      <c r="I377">
        <v>28807</v>
      </c>
      <c r="J377">
        <v>0</v>
      </c>
      <c r="K377">
        <v>0</v>
      </c>
      <c r="L377">
        <v>0</v>
      </c>
      <c r="M377">
        <v>0</v>
      </c>
      <c r="N377">
        <v>560</v>
      </c>
      <c r="O377">
        <v>43</v>
      </c>
      <c r="P377" t="s">
        <v>32</v>
      </c>
      <c r="Q377">
        <v>2825792</v>
      </c>
      <c r="R377" t="s">
        <v>26</v>
      </c>
      <c r="S377" t="s">
        <v>27</v>
      </c>
      <c r="T377" t="s">
        <v>28</v>
      </c>
    </row>
    <row r="378" spans="1:20" x14ac:dyDescent="0.3">
      <c r="A378" t="s">
        <v>639</v>
      </c>
      <c r="B378" s="1">
        <v>45896</v>
      </c>
      <c r="C378" s="1" t="s">
        <v>1328</v>
      </c>
      <c r="D378" t="s">
        <v>640</v>
      </c>
      <c r="E378" t="s">
        <v>55</v>
      </c>
      <c r="F378" t="s">
        <v>22</v>
      </c>
      <c r="G378" t="s">
        <v>59</v>
      </c>
      <c r="H378" t="s">
        <v>56</v>
      </c>
      <c r="I378">
        <v>105822</v>
      </c>
      <c r="J378">
        <v>0</v>
      </c>
      <c r="K378">
        <v>0</v>
      </c>
      <c r="L378">
        <v>0</v>
      </c>
      <c r="M378">
        <v>0</v>
      </c>
      <c r="N378">
        <v>461</v>
      </c>
      <c r="O378">
        <v>56</v>
      </c>
      <c r="P378" t="s">
        <v>32</v>
      </c>
      <c r="Q378">
        <v>2233468</v>
      </c>
      <c r="R378" t="s">
        <v>49</v>
      </c>
      <c r="S378" t="s">
        <v>27</v>
      </c>
      <c r="T378" t="s">
        <v>60</v>
      </c>
    </row>
    <row r="379" spans="1:20" x14ac:dyDescent="0.3">
      <c r="A379" t="s">
        <v>641</v>
      </c>
      <c r="B379" s="1">
        <v>45943</v>
      </c>
      <c r="C379" s="1" t="s">
        <v>1330</v>
      </c>
      <c r="D379" t="s">
        <v>93</v>
      </c>
      <c r="E379" t="s">
        <v>63</v>
      </c>
      <c r="F379" t="s">
        <v>38</v>
      </c>
      <c r="G379" t="s">
        <v>68</v>
      </c>
      <c r="H379" t="s">
        <v>31</v>
      </c>
      <c r="I379">
        <v>0</v>
      </c>
      <c r="J379">
        <v>0</v>
      </c>
      <c r="K379">
        <v>539775</v>
      </c>
      <c r="L379">
        <v>0</v>
      </c>
      <c r="M379">
        <v>0</v>
      </c>
      <c r="N379">
        <v>303</v>
      </c>
      <c r="O379">
        <v>57</v>
      </c>
      <c r="P379" t="s">
        <v>25</v>
      </c>
      <c r="Q379">
        <v>2071303</v>
      </c>
      <c r="R379" t="s">
        <v>49</v>
      </c>
      <c r="S379" t="s">
        <v>33</v>
      </c>
      <c r="T379" t="s">
        <v>41</v>
      </c>
    </row>
    <row r="380" spans="1:20" x14ac:dyDescent="0.3">
      <c r="A380" t="s">
        <v>642</v>
      </c>
      <c r="B380" s="1">
        <v>45749</v>
      </c>
      <c r="C380" s="1" t="s">
        <v>1324</v>
      </c>
      <c r="D380" t="s">
        <v>643</v>
      </c>
      <c r="E380" t="s">
        <v>63</v>
      </c>
      <c r="F380" t="s">
        <v>38</v>
      </c>
      <c r="G380" t="s">
        <v>39</v>
      </c>
      <c r="H380" t="s">
        <v>24</v>
      </c>
      <c r="I380">
        <v>0</v>
      </c>
      <c r="J380">
        <v>0</v>
      </c>
      <c r="K380">
        <v>0</v>
      </c>
      <c r="L380">
        <v>0</v>
      </c>
      <c r="M380">
        <v>6430.87</v>
      </c>
      <c r="N380">
        <v>856</v>
      </c>
      <c r="O380">
        <v>44</v>
      </c>
      <c r="P380" t="s">
        <v>32</v>
      </c>
      <c r="Q380">
        <v>430200</v>
      </c>
      <c r="R380" t="s">
        <v>26</v>
      </c>
      <c r="S380" t="s">
        <v>27</v>
      </c>
      <c r="T380" t="s">
        <v>60</v>
      </c>
    </row>
    <row r="381" spans="1:20" x14ac:dyDescent="0.3">
      <c r="A381" t="s">
        <v>644</v>
      </c>
      <c r="B381" s="1">
        <v>45743</v>
      </c>
      <c r="C381" s="1" t="s">
        <v>1323</v>
      </c>
      <c r="D381" t="s">
        <v>167</v>
      </c>
      <c r="E381" t="s">
        <v>63</v>
      </c>
      <c r="F381" t="s">
        <v>22</v>
      </c>
      <c r="G381" t="s">
        <v>68</v>
      </c>
      <c r="H381" t="s">
        <v>56</v>
      </c>
      <c r="I381">
        <v>6879</v>
      </c>
      <c r="J381">
        <v>0</v>
      </c>
      <c r="K381">
        <v>0</v>
      </c>
      <c r="L381">
        <v>0</v>
      </c>
      <c r="M381">
        <v>0</v>
      </c>
      <c r="N381">
        <v>855</v>
      </c>
      <c r="O381">
        <v>62</v>
      </c>
      <c r="P381" t="s">
        <v>32</v>
      </c>
      <c r="Q381">
        <v>406361</v>
      </c>
      <c r="R381" t="s">
        <v>49</v>
      </c>
      <c r="S381" t="s">
        <v>27</v>
      </c>
      <c r="T381" t="s">
        <v>41</v>
      </c>
    </row>
    <row r="382" spans="1:20" x14ac:dyDescent="0.3">
      <c r="A382" t="s">
        <v>645</v>
      </c>
      <c r="B382" s="1">
        <v>45989</v>
      </c>
      <c r="C382" s="1" t="s">
        <v>1331</v>
      </c>
      <c r="D382" t="s">
        <v>646</v>
      </c>
      <c r="E382" t="s">
        <v>77</v>
      </c>
      <c r="F382" t="s">
        <v>38</v>
      </c>
      <c r="G382" t="s">
        <v>23</v>
      </c>
      <c r="H382" t="s">
        <v>52</v>
      </c>
      <c r="I382">
        <v>0</v>
      </c>
      <c r="J382">
        <v>0</v>
      </c>
      <c r="K382">
        <v>0</v>
      </c>
      <c r="L382">
        <v>43294</v>
      </c>
      <c r="M382">
        <v>0</v>
      </c>
      <c r="N382">
        <v>790</v>
      </c>
      <c r="O382">
        <v>18</v>
      </c>
      <c r="P382" t="s">
        <v>25</v>
      </c>
      <c r="Q382">
        <v>1287249</v>
      </c>
      <c r="R382" t="s">
        <v>49</v>
      </c>
      <c r="S382" t="s">
        <v>74</v>
      </c>
      <c r="T382" t="s">
        <v>45</v>
      </c>
    </row>
    <row r="383" spans="1:20" x14ac:dyDescent="0.3">
      <c r="A383" t="s">
        <v>647</v>
      </c>
      <c r="B383" s="1">
        <v>45766</v>
      </c>
      <c r="C383" s="1" t="s">
        <v>1324</v>
      </c>
      <c r="D383" t="s">
        <v>606</v>
      </c>
      <c r="E383" t="s">
        <v>48</v>
      </c>
      <c r="F383" t="s">
        <v>38</v>
      </c>
      <c r="G383" t="s">
        <v>39</v>
      </c>
      <c r="H383" t="s">
        <v>52</v>
      </c>
      <c r="I383">
        <v>0</v>
      </c>
      <c r="J383">
        <v>0</v>
      </c>
      <c r="K383">
        <v>0</v>
      </c>
      <c r="L383">
        <v>38187</v>
      </c>
      <c r="M383">
        <v>0</v>
      </c>
      <c r="N383">
        <v>659</v>
      </c>
      <c r="O383">
        <v>55</v>
      </c>
      <c r="P383" t="s">
        <v>25</v>
      </c>
      <c r="Q383">
        <v>1288279</v>
      </c>
      <c r="R383" t="s">
        <v>26</v>
      </c>
      <c r="S383" t="s">
        <v>74</v>
      </c>
      <c r="T383" t="s">
        <v>34</v>
      </c>
    </row>
    <row r="384" spans="1:20" x14ac:dyDescent="0.3">
      <c r="A384" t="s">
        <v>648</v>
      </c>
      <c r="B384" s="1">
        <v>45822</v>
      </c>
      <c r="C384" s="1" t="s">
        <v>1326</v>
      </c>
      <c r="D384" t="s">
        <v>122</v>
      </c>
      <c r="E384" t="s">
        <v>63</v>
      </c>
      <c r="F384" t="s">
        <v>44</v>
      </c>
      <c r="G384" t="s">
        <v>59</v>
      </c>
      <c r="H384" t="s">
        <v>40</v>
      </c>
      <c r="I384">
        <v>0</v>
      </c>
      <c r="J384">
        <v>87010</v>
      </c>
      <c r="K384">
        <v>0</v>
      </c>
      <c r="L384">
        <v>0</v>
      </c>
      <c r="M384">
        <v>0</v>
      </c>
      <c r="N384">
        <v>784</v>
      </c>
      <c r="O384">
        <v>30</v>
      </c>
      <c r="P384" t="s">
        <v>25</v>
      </c>
      <c r="Q384">
        <v>1413671</v>
      </c>
      <c r="R384" t="s">
        <v>49</v>
      </c>
      <c r="S384" t="s">
        <v>27</v>
      </c>
      <c r="T384" t="s">
        <v>34</v>
      </c>
    </row>
    <row r="385" spans="1:20" x14ac:dyDescent="0.3">
      <c r="A385" t="s">
        <v>649</v>
      </c>
      <c r="B385" s="1">
        <v>45794</v>
      </c>
      <c r="C385" s="1" t="s">
        <v>1325</v>
      </c>
      <c r="D385" t="s">
        <v>264</v>
      </c>
      <c r="E385" t="s">
        <v>21</v>
      </c>
      <c r="F385" t="s">
        <v>22</v>
      </c>
      <c r="G385" t="s">
        <v>23</v>
      </c>
      <c r="H385" t="s">
        <v>52</v>
      </c>
      <c r="I385">
        <v>0</v>
      </c>
      <c r="J385">
        <v>0</v>
      </c>
      <c r="K385">
        <v>0</v>
      </c>
      <c r="L385">
        <v>45291</v>
      </c>
      <c r="M385">
        <v>0</v>
      </c>
      <c r="N385">
        <v>461</v>
      </c>
      <c r="O385">
        <v>50</v>
      </c>
      <c r="P385" t="s">
        <v>32</v>
      </c>
      <c r="Q385">
        <v>2298203</v>
      </c>
      <c r="R385" t="s">
        <v>26</v>
      </c>
      <c r="S385" t="s">
        <v>33</v>
      </c>
      <c r="T385" t="s">
        <v>45</v>
      </c>
    </row>
    <row r="386" spans="1:20" x14ac:dyDescent="0.3">
      <c r="A386" t="s">
        <v>650</v>
      </c>
      <c r="B386" s="1">
        <v>45737</v>
      </c>
      <c r="C386" s="1" t="s">
        <v>1323</v>
      </c>
      <c r="D386" t="s">
        <v>370</v>
      </c>
      <c r="E386" t="s">
        <v>77</v>
      </c>
      <c r="F386" t="s">
        <v>38</v>
      </c>
      <c r="G386" t="s">
        <v>59</v>
      </c>
      <c r="H386" t="s">
        <v>31</v>
      </c>
      <c r="I386">
        <v>0</v>
      </c>
      <c r="J386">
        <v>0</v>
      </c>
      <c r="K386">
        <v>56126</v>
      </c>
      <c r="L386">
        <v>0</v>
      </c>
      <c r="M386">
        <v>0</v>
      </c>
      <c r="N386">
        <v>866</v>
      </c>
      <c r="O386">
        <v>32</v>
      </c>
      <c r="P386" t="s">
        <v>25</v>
      </c>
      <c r="Q386">
        <v>1671031</v>
      </c>
      <c r="R386" t="s">
        <v>49</v>
      </c>
      <c r="S386" t="s">
        <v>33</v>
      </c>
      <c r="T386" t="s">
        <v>34</v>
      </c>
    </row>
    <row r="387" spans="1:20" x14ac:dyDescent="0.3">
      <c r="A387" t="s">
        <v>651</v>
      </c>
      <c r="B387" s="1">
        <v>45692</v>
      </c>
      <c r="C387" s="1" t="s">
        <v>1322</v>
      </c>
      <c r="D387" t="s">
        <v>276</v>
      </c>
      <c r="E387" t="s">
        <v>48</v>
      </c>
      <c r="F387" t="s">
        <v>64</v>
      </c>
      <c r="G387" t="s">
        <v>59</v>
      </c>
      <c r="H387" t="s">
        <v>56</v>
      </c>
      <c r="I387">
        <v>1540</v>
      </c>
      <c r="J387">
        <v>0</v>
      </c>
      <c r="K387">
        <v>0</v>
      </c>
      <c r="L387">
        <v>0</v>
      </c>
      <c r="M387">
        <v>0</v>
      </c>
      <c r="N387">
        <v>836</v>
      </c>
      <c r="O387">
        <v>26</v>
      </c>
      <c r="P387" t="s">
        <v>32</v>
      </c>
      <c r="Q387">
        <v>466988</v>
      </c>
      <c r="R387" t="s">
        <v>26</v>
      </c>
      <c r="S387" t="s">
        <v>27</v>
      </c>
      <c r="T387" t="s">
        <v>41</v>
      </c>
    </row>
    <row r="388" spans="1:20" x14ac:dyDescent="0.3">
      <c r="A388" t="s">
        <v>652</v>
      </c>
      <c r="B388" s="1">
        <v>45754</v>
      </c>
      <c r="C388" s="1" t="s">
        <v>1324</v>
      </c>
      <c r="D388" t="s">
        <v>376</v>
      </c>
      <c r="E388" t="s">
        <v>48</v>
      </c>
      <c r="F388" t="s">
        <v>21</v>
      </c>
      <c r="G388" t="s">
        <v>68</v>
      </c>
      <c r="H388" t="s">
        <v>24</v>
      </c>
      <c r="I388">
        <v>0</v>
      </c>
      <c r="J388">
        <v>0</v>
      </c>
      <c r="K388">
        <v>0</v>
      </c>
      <c r="L388">
        <v>0</v>
      </c>
      <c r="M388">
        <v>899.43</v>
      </c>
      <c r="N388">
        <v>509</v>
      </c>
      <c r="O388">
        <v>26</v>
      </c>
      <c r="P388" t="s">
        <v>32</v>
      </c>
      <c r="Q388">
        <v>925155</v>
      </c>
      <c r="R388" t="s">
        <v>26</v>
      </c>
      <c r="S388" t="s">
        <v>27</v>
      </c>
      <c r="T388" t="s">
        <v>60</v>
      </c>
    </row>
    <row r="389" spans="1:20" x14ac:dyDescent="0.3">
      <c r="A389" t="s">
        <v>653</v>
      </c>
      <c r="B389" s="1">
        <v>45843</v>
      </c>
      <c r="C389" s="1" t="s">
        <v>1327</v>
      </c>
      <c r="D389" t="s">
        <v>480</v>
      </c>
      <c r="E389" t="s">
        <v>55</v>
      </c>
      <c r="F389" t="s">
        <v>38</v>
      </c>
      <c r="G389" t="s">
        <v>23</v>
      </c>
      <c r="H389" t="s">
        <v>24</v>
      </c>
      <c r="I389">
        <v>0</v>
      </c>
      <c r="J389">
        <v>0</v>
      </c>
      <c r="K389">
        <v>0</v>
      </c>
      <c r="L389">
        <v>0</v>
      </c>
      <c r="M389">
        <v>3910.59</v>
      </c>
      <c r="N389">
        <v>696</v>
      </c>
      <c r="O389">
        <v>60</v>
      </c>
      <c r="P389" t="s">
        <v>32</v>
      </c>
      <c r="Q389">
        <v>2734239</v>
      </c>
      <c r="R389" t="s">
        <v>49</v>
      </c>
      <c r="S389" t="s">
        <v>27</v>
      </c>
      <c r="T389" t="s">
        <v>41</v>
      </c>
    </row>
    <row r="390" spans="1:20" x14ac:dyDescent="0.3">
      <c r="A390" t="s">
        <v>654</v>
      </c>
      <c r="B390" s="1">
        <v>45810</v>
      </c>
      <c r="C390" s="1" t="s">
        <v>1326</v>
      </c>
      <c r="D390" t="s">
        <v>592</v>
      </c>
      <c r="E390" t="s">
        <v>63</v>
      </c>
      <c r="F390" t="s">
        <v>21</v>
      </c>
      <c r="G390" t="s">
        <v>23</v>
      </c>
      <c r="H390" t="s">
        <v>24</v>
      </c>
      <c r="I390">
        <v>0</v>
      </c>
      <c r="J390">
        <v>0</v>
      </c>
      <c r="K390">
        <v>0</v>
      </c>
      <c r="L390">
        <v>0</v>
      </c>
      <c r="M390">
        <v>6603.32</v>
      </c>
      <c r="N390">
        <v>359</v>
      </c>
      <c r="O390">
        <v>57</v>
      </c>
      <c r="P390" t="s">
        <v>32</v>
      </c>
      <c r="Q390">
        <v>1411649</v>
      </c>
      <c r="R390" t="s">
        <v>26</v>
      </c>
      <c r="S390" t="s">
        <v>27</v>
      </c>
      <c r="T390" t="s">
        <v>34</v>
      </c>
    </row>
    <row r="391" spans="1:20" x14ac:dyDescent="0.3">
      <c r="A391" t="s">
        <v>655</v>
      </c>
      <c r="B391" s="1">
        <v>45841</v>
      </c>
      <c r="C391" s="1" t="s">
        <v>1327</v>
      </c>
      <c r="D391" t="s">
        <v>656</v>
      </c>
      <c r="E391" t="s">
        <v>77</v>
      </c>
      <c r="F391" t="s">
        <v>44</v>
      </c>
      <c r="G391" t="s">
        <v>68</v>
      </c>
      <c r="H391" t="s">
        <v>52</v>
      </c>
      <c r="I391">
        <v>0</v>
      </c>
      <c r="J391">
        <v>0</v>
      </c>
      <c r="K391">
        <v>0</v>
      </c>
      <c r="L391">
        <v>45539</v>
      </c>
      <c r="M391">
        <v>0</v>
      </c>
      <c r="N391">
        <v>559</v>
      </c>
      <c r="O391">
        <v>63</v>
      </c>
      <c r="P391" t="s">
        <v>32</v>
      </c>
      <c r="Q391">
        <v>2972647</v>
      </c>
      <c r="R391" t="s">
        <v>26</v>
      </c>
      <c r="S391" t="s">
        <v>71</v>
      </c>
      <c r="T391" t="s">
        <v>41</v>
      </c>
    </row>
    <row r="392" spans="1:20" x14ac:dyDescent="0.3">
      <c r="A392" t="s">
        <v>657</v>
      </c>
      <c r="B392" s="1">
        <v>45715</v>
      </c>
      <c r="C392" s="1" t="s">
        <v>1322</v>
      </c>
      <c r="D392" t="s">
        <v>658</v>
      </c>
      <c r="E392" t="s">
        <v>77</v>
      </c>
      <c r="F392" t="s">
        <v>38</v>
      </c>
      <c r="G392" t="s">
        <v>68</v>
      </c>
      <c r="H392" t="s">
        <v>24</v>
      </c>
      <c r="I392">
        <v>0</v>
      </c>
      <c r="J392">
        <v>0</v>
      </c>
      <c r="K392">
        <v>0</v>
      </c>
      <c r="L392">
        <v>0</v>
      </c>
      <c r="M392">
        <v>4202.72</v>
      </c>
      <c r="N392">
        <v>440</v>
      </c>
      <c r="O392">
        <v>47</v>
      </c>
      <c r="P392" t="s">
        <v>32</v>
      </c>
      <c r="Q392">
        <v>2192944</v>
      </c>
      <c r="R392" t="s">
        <v>49</v>
      </c>
      <c r="S392" t="s">
        <v>27</v>
      </c>
      <c r="T392" t="s">
        <v>34</v>
      </c>
    </row>
    <row r="393" spans="1:20" x14ac:dyDescent="0.3">
      <c r="A393" t="s">
        <v>659</v>
      </c>
      <c r="B393" s="1">
        <v>46013</v>
      </c>
      <c r="C393" s="1" t="s">
        <v>1332</v>
      </c>
      <c r="D393" t="s">
        <v>272</v>
      </c>
      <c r="E393" t="s">
        <v>63</v>
      </c>
      <c r="F393" t="s">
        <v>44</v>
      </c>
      <c r="G393" t="s">
        <v>39</v>
      </c>
      <c r="H393" t="s">
        <v>40</v>
      </c>
      <c r="I393">
        <v>0</v>
      </c>
      <c r="J393">
        <v>68263</v>
      </c>
      <c r="K393">
        <v>0</v>
      </c>
      <c r="L393">
        <v>0</v>
      </c>
      <c r="M393">
        <v>0</v>
      </c>
      <c r="N393">
        <v>845</v>
      </c>
      <c r="O393">
        <v>39</v>
      </c>
      <c r="P393" t="s">
        <v>32</v>
      </c>
      <c r="Q393">
        <v>1736289</v>
      </c>
      <c r="R393" t="s">
        <v>26</v>
      </c>
      <c r="S393" t="s">
        <v>27</v>
      </c>
      <c r="T393" t="s">
        <v>28</v>
      </c>
    </row>
    <row r="394" spans="1:20" x14ac:dyDescent="0.3">
      <c r="A394" t="s">
        <v>660</v>
      </c>
      <c r="B394" s="1">
        <v>45753</v>
      </c>
      <c r="C394" s="1" t="s">
        <v>1324</v>
      </c>
      <c r="D394" t="s">
        <v>448</v>
      </c>
      <c r="E394" t="s">
        <v>48</v>
      </c>
      <c r="F394" t="s">
        <v>21</v>
      </c>
      <c r="G394" t="s">
        <v>59</v>
      </c>
      <c r="H394" t="s">
        <v>40</v>
      </c>
      <c r="I394">
        <v>0</v>
      </c>
      <c r="J394">
        <v>66375</v>
      </c>
      <c r="K394">
        <v>0</v>
      </c>
      <c r="L394">
        <v>0</v>
      </c>
      <c r="M394">
        <v>0</v>
      </c>
      <c r="N394">
        <v>788</v>
      </c>
      <c r="O394">
        <v>54</v>
      </c>
      <c r="P394" t="s">
        <v>25</v>
      </c>
      <c r="Q394">
        <v>2204612</v>
      </c>
      <c r="R394" t="s">
        <v>49</v>
      </c>
      <c r="S394" t="s">
        <v>27</v>
      </c>
      <c r="T394" t="s">
        <v>60</v>
      </c>
    </row>
    <row r="395" spans="1:20" x14ac:dyDescent="0.3">
      <c r="A395" t="s">
        <v>661</v>
      </c>
      <c r="B395" s="1">
        <v>45939</v>
      </c>
      <c r="C395" s="1" t="s">
        <v>1330</v>
      </c>
      <c r="D395" t="s">
        <v>51</v>
      </c>
      <c r="E395" t="s">
        <v>77</v>
      </c>
      <c r="F395" t="s">
        <v>22</v>
      </c>
      <c r="G395" t="s">
        <v>39</v>
      </c>
      <c r="H395" t="s">
        <v>31</v>
      </c>
      <c r="I395">
        <v>0</v>
      </c>
      <c r="J395">
        <v>0</v>
      </c>
      <c r="K395">
        <v>342078</v>
      </c>
      <c r="L395">
        <v>0</v>
      </c>
      <c r="M395">
        <v>0</v>
      </c>
      <c r="N395">
        <v>609</v>
      </c>
      <c r="O395">
        <v>25</v>
      </c>
      <c r="P395" t="s">
        <v>32</v>
      </c>
      <c r="Q395">
        <v>1884835</v>
      </c>
      <c r="R395" t="s">
        <v>49</v>
      </c>
      <c r="S395" t="s">
        <v>65</v>
      </c>
      <c r="T395" t="s">
        <v>34</v>
      </c>
    </row>
    <row r="396" spans="1:20" x14ac:dyDescent="0.3">
      <c r="A396" t="s">
        <v>662</v>
      </c>
      <c r="B396" s="1">
        <v>45777</v>
      </c>
      <c r="C396" s="1" t="s">
        <v>1324</v>
      </c>
      <c r="D396" t="s">
        <v>663</v>
      </c>
      <c r="E396" t="s">
        <v>48</v>
      </c>
      <c r="F396" t="s">
        <v>38</v>
      </c>
      <c r="G396" t="s">
        <v>23</v>
      </c>
      <c r="H396" t="s">
        <v>56</v>
      </c>
      <c r="I396">
        <v>182309</v>
      </c>
      <c r="J396">
        <v>0</v>
      </c>
      <c r="K396">
        <v>0</v>
      </c>
      <c r="L396">
        <v>0</v>
      </c>
      <c r="M396">
        <v>0</v>
      </c>
      <c r="N396">
        <v>360</v>
      </c>
      <c r="O396">
        <v>18</v>
      </c>
      <c r="P396" t="s">
        <v>25</v>
      </c>
      <c r="Q396">
        <v>971779</v>
      </c>
      <c r="R396" t="s">
        <v>49</v>
      </c>
      <c r="S396" t="s">
        <v>27</v>
      </c>
      <c r="T396" t="s">
        <v>60</v>
      </c>
    </row>
    <row r="397" spans="1:20" x14ac:dyDescent="0.3">
      <c r="A397" t="s">
        <v>664</v>
      </c>
      <c r="B397" s="1">
        <v>45668</v>
      </c>
      <c r="C397" s="1" t="s">
        <v>1321</v>
      </c>
      <c r="D397" t="s">
        <v>665</v>
      </c>
      <c r="E397" t="s">
        <v>77</v>
      </c>
      <c r="F397" t="s">
        <v>22</v>
      </c>
      <c r="G397" t="s">
        <v>59</v>
      </c>
      <c r="H397" t="s">
        <v>56</v>
      </c>
      <c r="I397">
        <v>24543</v>
      </c>
      <c r="J397">
        <v>0</v>
      </c>
      <c r="K397">
        <v>0</v>
      </c>
      <c r="L397">
        <v>0</v>
      </c>
      <c r="M397">
        <v>0</v>
      </c>
      <c r="N397">
        <v>729</v>
      </c>
      <c r="O397">
        <v>37</v>
      </c>
      <c r="P397" t="s">
        <v>32</v>
      </c>
      <c r="Q397">
        <v>230496</v>
      </c>
      <c r="R397" t="s">
        <v>26</v>
      </c>
      <c r="S397" t="s">
        <v>27</v>
      </c>
      <c r="T397" t="s">
        <v>45</v>
      </c>
    </row>
    <row r="398" spans="1:20" x14ac:dyDescent="0.3">
      <c r="A398" t="s">
        <v>666</v>
      </c>
      <c r="B398" s="1">
        <v>45688</v>
      </c>
      <c r="C398" s="1" t="s">
        <v>1321</v>
      </c>
      <c r="D398" t="s">
        <v>667</v>
      </c>
      <c r="E398" t="s">
        <v>37</v>
      </c>
      <c r="F398" t="s">
        <v>64</v>
      </c>
      <c r="G398" t="s">
        <v>59</v>
      </c>
      <c r="H398" t="s">
        <v>40</v>
      </c>
      <c r="I398">
        <v>0</v>
      </c>
      <c r="J398">
        <v>47469</v>
      </c>
      <c r="K398">
        <v>0</v>
      </c>
      <c r="L398">
        <v>0</v>
      </c>
      <c r="M398">
        <v>0</v>
      </c>
      <c r="N398">
        <v>845</v>
      </c>
      <c r="O398">
        <v>37</v>
      </c>
      <c r="P398" t="s">
        <v>25</v>
      </c>
      <c r="Q398">
        <v>2063144</v>
      </c>
      <c r="R398" t="s">
        <v>26</v>
      </c>
      <c r="S398" t="s">
        <v>27</v>
      </c>
      <c r="T398" t="s">
        <v>45</v>
      </c>
    </row>
    <row r="399" spans="1:20" x14ac:dyDescent="0.3">
      <c r="A399" t="s">
        <v>668</v>
      </c>
      <c r="B399" s="1">
        <v>45707</v>
      </c>
      <c r="C399" s="1" t="s">
        <v>1322</v>
      </c>
      <c r="D399" t="s">
        <v>251</v>
      </c>
      <c r="E399" t="s">
        <v>63</v>
      </c>
      <c r="F399" t="s">
        <v>21</v>
      </c>
      <c r="G399" t="s">
        <v>23</v>
      </c>
      <c r="H399" t="s">
        <v>24</v>
      </c>
      <c r="I399">
        <v>0</v>
      </c>
      <c r="J399">
        <v>0</v>
      </c>
      <c r="K399">
        <v>0</v>
      </c>
      <c r="L399">
        <v>0</v>
      </c>
      <c r="M399">
        <v>3058.21</v>
      </c>
      <c r="N399">
        <v>531</v>
      </c>
      <c r="O399">
        <v>64</v>
      </c>
      <c r="P399" t="s">
        <v>25</v>
      </c>
      <c r="Q399">
        <v>1269385</v>
      </c>
      <c r="R399" t="s">
        <v>26</v>
      </c>
      <c r="S399" t="s">
        <v>27</v>
      </c>
      <c r="T399" t="s">
        <v>28</v>
      </c>
    </row>
    <row r="400" spans="1:20" x14ac:dyDescent="0.3">
      <c r="A400" t="s">
        <v>669</v>
      </c>
      <c r="B400" s="1">
        <v>45964</v>
      </c>
      <c r="C400" s="1" t="s">
        <v>1331</v>
      </c>
      <c r="D400" t="s">
        <v>518</v>
      </c>
      <c r="E400" t="s">
        <v>48</v>
      </c>
      <c r="F400" t="s">
        <v>44</v>
      </c>
      <c r="G400" t="s">
        <v>68</v>
      </c>
      <c r="H400" t="s">
        <v>52</v>
      </c>
      <c r="I400">
        <v>0</v>
      </c>
      <c r="J400">
        <v>0</v>
      </c>
      <c r="K400">
        <v>0</v>
      </c>
      <c r="L400">
        <v>15213</v>
      </c>
      <c r="M400">
        <v>0</v>
      </c>
      <c r="N400">
        <v>604</v>
      </c>
      <c r="O400">
        <v>43</v>
      </c>
      <c r="P400" t="s">
        <v>32</v>
      </c>
      <c r="Q400">
        <v>1921627</v>
      </c>
      <c r="R400" t="s">
        <v>49</v>
      </c>
      <c r="S400" t="s">
        <v>33</v>
      </c>
      <c r="T400" t="s">
        <v>60</v>
      </c>
    </row>
    <row r="401" spans="1:20" x14ac:dyDescent="0.3">
      <c r="A401" t="s">
        <v>670</v>
      </c>
      <c r="B401" s="1">
        <v>45818</v>
      </c>
      <c r="C401" s="1" t="s">
        <v>1326</v>
      </c>
      <c r="D401" t="s">
        <v>270</v>
      </c>
      <c r="E401" t="s">
        <v>48</v>
      </c>
      <c r="F401" t="s">
        <v>22</v>
      </c>
      <c r="G401" t="s">
        <v>23</v>
      </c>
      <c r="H401" t="s">
        <v>24</v>
      </c>
      <c r="I401">
        <v>0</v>
      </c>
      <c r="J401">
        <v>0</v>
      </c>
      <c r="K401">
        <v>0</v>
      </c>
      <c r="L401">
        <v>0</v>
      </c>
      <c r="M401">
        <v>1243.06</v>
      </c>
      <c r="N401">
        <v>545</v>
      </c>
      <c r="O401">
        <v>35</v>
      </c>
      <c r="P401" t="s">
        <v>32</v>
      </c>
      <c r="Q401">
        <v>1638376</v>
      </c>
      <c r="R401" t="s">
        <v>26</v>
      </c>
      <c r="S401" t="s">
        <v>27</v>
      </c>
      <c r="T401" t="s">
        <v>45</v>
      </c>
    </row>
    <row r="402" spans="1:20" x14ac:dyDescent="0.3">
      <c r="A402" t="s">
        <v>671</v>
      </c>
      <c r="B402" s="1">
        <v>45976</v>
      </c>
      <c r="C402" s="1" t="s">
        <v>1331</v>
      </c>
      <c r="D402" t="s">
        <v>251</v>
      </c>
      <c r="E402" t="s">
        <v>55</v>
      </c>
      <c r="F402" t="s">
        <v>21</v>
      </c>
      <c r="G402" t="s">
        <v>39</v>
      </c>
      <c r="H402" t="s">
        <v>24</v>
      </c>
      <c r="I402">
        <v>0</v>
      </c>
      <c r="J402">
        <v>0</v>
      </c>
      <c r="K402">
        <v>0</v>
      </c>
      <c r="L402">
        <v>0</v>
      </c>
      <c r="M402">
        <v>2255.9299999999998</v>
      </c>
      <c r="N402">
        <v>689</v>
      </c>
      <c r="O402">
        <v>54</v>
      </c>
      <c r="P402" t="s">
        <v>32</v>
      </c>
      <c r="Q402">
        <v>2111872</v>
      </c>
      <c r="R402" t="s">
        <v>49</v>
      </c>
      <c r="S402" t="s">
        <v>27</v>
      </c>
      <c r="T402" t="s">
        <v>34</v>
      </c>
    </row>
    <row r="403" spans="1:20" x14ac:dyDescent="0.3">
      <c r="A403" t="s">
        <v>672</v>
      </c>
      <c r="B403" s="1">
        <v>45935</v>
      </c>
      <c r="C403" s="1" t="s">
        <v>1330</v>
      </c>
      <c r="D403" t="s">
        <v>673</v>
      </c>
      <c r="E403" t="s">
        <v>77</v>
      </c>
      <c r="F403" t="s">
        <v>21</v>
      </c>
      <c r="G403" t="s">
        <v>23</v>
      </c>
      <c r="H403" t="s">
        <v>24</v>
      </c>
      <c r="I403">
        <v>0</v>
      </c>
      <c r="J403">
        <v>0</v>
      </c>
      <c r="K403">
        <v>0</v>
      </c>
      <c r="L403">
        <v>0</v>
      </c>
      <c r="M403">
        <v>388.79</v>
      </c>
      <c r="N403">
        <v>745</v>
      </c>
      <c r="O403">
        <v>65</v>
      </c>
      <c r="P403" t="s">
        <v>32</v>
      </c>
      <c r="Q403">
        <v>2477407</v>
      </c>
      <c r="R403" t="s">
        <v>49</v>
      </c>
      <c r="S403" t="s">
        <v>27</v>
      </c>
      <c r="T403" t="s">
        <v>34</v>
      </c>
    </row>
    <row r="404" spans="1:20" x14ac:dyDescent="0.3">
      <c r="A404" t="s">
        <v>674</v>
      </c>
      <c r="B404" s="1">
        <v>45863</v>
      </c>
      <c r="C404" s="1" t="s">
        <v>1327</v>
      </c>
      <c r="D404" t="s">
        <v>73</v>
      </c>
      <c r="E404" t="s">
        <v>63</v>
      </c>
      <c r="F404" t="s">
        <v>38</v>
      </c>
      <c r="G404" t="s">
        <v>39</v>
      </c>
      <c r="H404" t="s">
        <v>24</v>
      </c>
      <c r="I404">
        <v>0</v>
      </c>
      <c r="J404">
        <v>0</v>
      </c>
      <c r="K404">
        <v>0</v>
      </c>
      <c r="L404">
        <v>0</v>
      </c>
      <c r="M404">
        <v>8414.7000000000007</v>
      </c>
      <c r="N404">
        <v>606</v>
      </c>
      <c r="O404">
        <v>29</v>
      </c>
      <c r="P404" t="s">
        <v>32</v>
      </c>
      <c r="Q404">
        <v>2143908</v>
      </c>
      <c r="R404" t="s">
        <v>26</v>
      </c>
      <c r="S404" t="s">
        <v>27</v>
      </c>
      <c r="T404" t="s">
        <v>60</v>
      </c>
    </row>
    <row r="405" spans="1:20" x14ac:dyDescent="0.3">
      <c r="A405" t="s">
        <v>675</v>
      </c>
      <c r="B405" s="1">
        <v>45816</v>
      </c>
      <c r="C405" s="1" t="s">
        <v>1326</v>
      </c>
      <c r="D405" t="s">
        <v>346</v>
      </c>
      <c r="E405" t="s">
        <v>48</v>
      </c>
      <c r="F405" t="s">
        <v>21</v>
      </c>
      <c r="G405" t="s">
        <v>39</v>
      </c>
      <c r="H405" t="s">
        <v>24</v>
      </c>
      <c r="I405">
        <v>0</v>
      </c>
      <c r="J405">
        <v>0</v>
      </c>
      <c r="K405">
        <v>0</v>
      </c>
      <c r="L405">
        <v>0</v>
      </c>
      <c r="M405">
        <v>6612.21</v>
      </c>
      <c r="N405">
        <v>363</v>
      </c>
      <c r="O405">
        <v>58</v>
      </c>
      <c r="P405" t="s">
        <v>32</v>
      </c>
      <c r="Q405">
        <v>2606966</v>
      </c>
      <c r="R405" t="s">
        <v>26</v>
      </c>
      <c r="S405" t="s">
        <v>27</v>
      </c>
      <c r="T405" t="s">
        <v>60</v>
      </c>
    </row>
    <row r="406" spans="1:20" x14ac:dyDescent="0.3">
      <c r="A406" t="s">
        <v>676</v>
      </c>
      <c r="B406" s="1">
        <v>45906</v>
      </c>
      <c r="C406" s="1" t="s">
        <v>1329</v>
      </c>
      <c r="D406" t="s">
        <v>129</v>
      </c>
      <c r="E406" t="s">
        <v>48</v>
      </c>
      <c r="F406" t="s">
        <v>38</v>
      </c>
      <c r="G406" t="s">
        <v>23</v>
      </c>
      <c r="H406" t="s">
        <v>52</v>
      </c>
      <c r="I406">
        <v>0</v>
      </c>
      <c r="J406">
        <v>0</v>
      </c>
      <c r="K406">
        <v>0</v>
      </c>
      <c r="L406">
        <v>23054</v>
      </c>
      <c r="M406">
        <v>0</v>
      </c>
      <c r="N406">
        <v>761</v>
      </c>
      <c r="O406">
        <v>21</v>
      </c>
      <c r="P406" t="s">
        <v>32</v>
      </c>
      <c r="Q406">
        <v>2872755</v>
      </c>
      <c r="R406" t="s">
        <v>49</v>
      </c>
      <c r="S406" t="s">
        <v>74</v>
      </c>
      <c r="T406" t="s">
        <v>28</v>
      </c>
    </row>
    <row r="407" spans="1:20" x14ac:dyDescent="0.3">
      <c r="A407" t="s">
        <v>677</v>
      </c>
      <c r="B407" s="1">
        <v>45772</v>
      </c>
      <c r="C407" s="1" t="s">
        <v>1324</v>
      </c>
      <c r="D407" t="s">
        <v>171</v>
      </c>
      <c r="E407" t="s">
        <v>55</v>
      </c>
      <c r="F407" t="s">
        <v>22</v>
      </c>
      <c r="G407" t="s">
        <v>59</v>
      </c>
      <c r="H407" t="s">
        <v>56</v>
      </c>
      <c r="I407">
        <v>123747</v>
      </c>
      <c r="J407">
        <v>0</v>
      </c>
      <c r="K407">
        <v>0</v>
      </c>
      <c r="L407">
        <v>0</v>
      </c>
      <c r="M407">
        <v>0</v>
      </c>
      <c r="N407">
        <v>329</v>
      </c>
      <c r="O407">
        <v>47</v>
      </c>
      <c r="P407" t="s">
        <v>32</v>
      </c>
      <c r="Q407">
        <v>1259126</v>
      </c>
      <c r="R407" t="s">
        <v>49</v>
      </c>
      <c r="S407" t="s">
        <v>27</v>
      </c>
      <c r="T407" t="s">
        <v>34</v>
      </c>
    </row>
    <row r="408" spans="1:20" x14ac:dyDescent="0.3">
      <c r="A408" t="s">
        <v>678</v>
      </c>
      <c r="B408" s="1">
        <v>45725</v>
      </c>
      <c r="C408" s="1" t="s">
        <v>1323</v>
      </c>
      <c r="D408" t="s">
        <v>578</v>
      </c>
      <c r="E408" t="s">
        <v>55</v>
      </c>
      <c r="F408" t="s">
        <v>44</v>
      </c>
      <c r="G408" t="s">
        <v>59</v>
      </c>
      <c r="H408" t="s">
        <v>56</v>
      </c>
      <c r="I408">
        <v>142362</v>
      </c>
      <c r="J408">
        <v>0</v>
      </c>
      <c r="K408">
        <v>0</v>
      </c>
      <c r="L408">
        <v>0</v>
      </c>
      <c r="M408">
        <v>0</v>
      </c>
      <c r="N408">
        <v>897</v>
      </c>
      <c r="O408">
        <v>23</v>
      </c>
      <c r="P408" t="s">
        <v>32</v>
      </c>
      <c r="Q408">
        <v>1626255</v>
      </c>
      <c r="R408" t="s">
        <v>26</v>
      </c>
      <c r="S408" t="s">
        <v>27</v>
      </c>
      <c r="T408" t="s">
        <v>60</v>
      </c>
    </row>
    <row r="409" spans="1:20" x14ac:dyDescent="0.3">
      <c r="A409" t="s">
        <v>679</v>
      </c>
      <c r="B409" s="1">
        <v>45721</v>
      </c>
      <c r="C409" s="1" t="s">
        <v>1323</v>
      </c>
      <c r="D409" t="s">
        <v>680</v>
      </c>
      <c r="E409" t="s">
        <v>63</v>
      </c>
      <c r="F409" t="s">
        <v>38</v>
      </c>
      <c r="G409" t="s">
        <v>59</v>
      </c>
      <c r="H409" t="s">
        <v>31</v>
      </c>
      <c r="I409">
        <v>0</v>
      </c>
      <c r="J409">
        <v>0</v>
      </c>
      <c r="K409">
        <v>438106</v>
      </c>
      <c r="L409">
        <v>0</v>
      </c>
      <c r="M409">
        <v>0</v>
      </c>
      <c r="N409">
        <v>517</v>
      </c>
      <c r="O409">
        <v>46</v>
      </c>
      <c r="P409" t="s">
        <v>25</v>
      </c>
      <c r="Q409">
        <v>685305</v>
      </c>
      <c r="R409" t="s">
        <v>49</v>
      </c>
      <c r="S409" t="s">
        <v>65</v>
      </c>
      <c r="T409" t="s">
        <v>34</v>
      </c>
    </row>
    <row r="410" spans="1:20" x14ac:dyDescent="0.3">
      <c r="A410" t="s">
        <v>681</v>
      </c>
      <c r="B410" s="1">
        <v>45748</v>
      </c>
      <c r="C410" s="1" t="s">
        <v>1324</v>
      </c>
      <c r="D410" t="s">
        <v>240</v>
      </c>
      <c r="E410" t="s">
        <v>48</v>
      </c>
      <c r="F410" t="s">
        <v>21</v>
      </c>
      <c r="G410" t="s">
        <v>23</v>
      </c>
      <c r="H410" t="s">
        <v>40</v>
      </c>
      <c r="I410">
        <v>0</v>
      </c>
      <c r="J410">
        <v>36689</v>
      </c>
      <c r="K410">
        <v>0</v>
      </c>
      <c r="L410">
        <v>0</v>
      </c>
      <c r="M410">
        <v>0</v>
      </c>
      <c r="N410">
        <v>667</v>
      </c>
      <c r="O410">
        <v>25</v>
      </c>
      <c r="P410" t="s">
        <v>25</v>
      </c>
      <c r="Q410">
        <v>2605352</v>
      </c>
      <c r="R410" t="s">
        <v>26</v>
      </c>
      <c r="S410" t="s">
        <v>27</v>
      </c>
      <c r="T410" t="s">
        <v>34</v>
      </c>
    </row>
    <row r="411" spans="1:20" x14ac:dyDescent="0.3">
      <c r="A411" t="s">
        <v>682</v>
      </c>
      <c r="B411" s="1">
        <v>46005</v>
      </c>
      <c r="C411" s="1" t="s">
        <v>1332</v>
      </c>
      <c r="D411" t="s">
        <v>395</v>
      </c>
      <c r="E411" t="s">
        <v>21</v>
      </c>
      <c r="F411" t="s">
        <v>22</v>
      </c>
      <c r="G411" t="s">
        <v>68</v>
      </c>
      <c r="H411" t="s">
        <v>31</v>
      </c>
      <c r="I411">
        <v>0</v>
      </c>
      <c r="J411">
        <v>0</v>
      </c>
      <c r="K411">
        <v>1705363</v>
      </c>
      <c r="L411">
        <v>0</v>
      </c>
      <c r="M411">
        <v>0</v>
      </c>
      <c r="N411">
        <v>531</v>
      </c>
      <c r="O411">
        <v>55</v>
      </c>
      <c r="P411" t="s">
        <v>32</v>
      </c>
      <c r="Q411">
        <v>227824</v>
      </c>
      <c r="R411" t="s">
        <v>49</v>
      </c>
      <c r="S411" t="s">
        <v>65</v>
      </c>
      <c r="T411" t="s">
        <v>41</v>
      </c>
    </row>
    <row r="412" spans="1:20" x14ac:dyDescent="0.3">
      <c r="A412" t="s">
        <v>683</v>
      </c>
      <c r="B412" s="1">
        <v>45857</v>
      </c>
      <c r="C412" s="1" t="s">
        <v>1327</v>
      </c>
      <c r="D412" t="s">
        <v>684</v>
      </c>
      <c r="E412" t="s">
        <v>37</v>
      </c>
      <c r="F412" t="s">
        <v>44</v>
      </c>
      <c r="G412" t="s">
        <v>23</v>
      </c>
      <c r="H412" t="s">
        <v>40</v>
      </c>
      <c r="I412">
        <v>0</v>
      </c>
      <c r="J412">
        <v>41445</v>
      </c>
      <c r="K412">
        <v>0</v>
      </c>
      <c r="L412">
        <v>0</v>
      </c>
      <c r="M412">
        <v>0</v>
      </c>
      <c r="N412">
        <v>584</v>
      </c>
      <c r="O412">
        <v>55</v>
      </c>
      <c r="P412" t="s">
        <v>32</v>
      </c>
      <c r="Q412">
        <v>2051492</v>
      </c>
      <c r="R412" t="s">
        <v>49</v>
      </c>
      <c r="S412" t="s">
        <v>27</v>
      </c>
      <c r="T412" t="s">
        <v>34</v>
      </c>
    </row>
    <row r="413" spans="1:20" x14ac:dyDescent="0.3">
      <c r="A413" t="s">
        <v>685</v>
      </c>
      <c r="B413" s="1">
        <v>45851</v>
      </c>
      <c r="C413" s="1" t="s">
        <v>1327</v>
      </c>
      <c r="D413" t="s">
        <v>409</v>
      </c>
      <c r="E413" t="s">
        <v>55</v>
      </c>
      <c r="F413" t="s">
        <v>38</v>
      </c>
      <c r="G413" t="s">
        <v>23</v>
      </c>
      <c r="H413" t="s">
        <v>56</v>
      </c>
      <c r="I413">
        <v>114055</v>
      </c>
      <c r="J413">
        <v>0</v>
      </c>
      <c r="K413">
        <v>0</v>
      </c>
      <c r="L413">
        <v>0</v>
      </c>
      <c r="M413">
        <v>0</v>
      </c>
      <c r="N413">
        <v>486</v>
      </c>
      <c r="O413">
        <v>48</v>
      </c>
      <c r="P413" t="s">
        <v>32</v>
      </c>
      <c r="Q413">
        <v>1172916</v>
      </c>
      <c r="R413" t="s">
        <v>49</v>
      </c>
      <c r="S413" t="s">
        <v>27</v>
      </c>
      <c r="T413" t="s">
        <v>45</v>
      </c>
    </row>
    <row r="414" spans="1:20" x14ac:dyDescent="0.3">
      <c r="A414" t="s">
        <v>686</v>
      </c>
      <c r="B414" s="1">
        <v>45682</v>
      </c>
      <c r="C414" s="1" t="s">
        <v>1321</v>
      </c>
      <c r="D414" t="s">
        <v>409</v>
      </c>
      <c r="E414" t="s">
        <v>21</v>
      </c>
      <c r="F414" t="s">
        <v>64</v>
      </c>
      <c r="G414" t="s">
        <v>23</v>
      </c>
      <c r="H414" t="s">
        <v>52</v>
      </c>
      <c r="I414">
        <v>0</v>
      </c>
      <c r="J414">
        <v>0</v>
      </c>
      <c r="K414">
        <v>0</v>
      </c>
      <c r="L414">
        <v>5731</v>
      </c>
      <c r="M414">
        <v>0</v>
      </c>
      <c r="N414">
        <v>619</v>
      </c>
      <c r="O414">
        <v>56</v>
      </c>
      <c r="P414" t="s">
        <v>32</v>
      </c>
      <c r="Q414">
        <v>2696263</v>
      </c>
      <c r="R414" t="s">
        <v>26</v>
      </c>
      <c r="S414" t="s">
        <v>74</v>
      </c>
      <c r="T414" t="s">
        <v>41</v>
      </c>
    </row>
    <row r="415" spans="1:20" x14ac:dyDescent="0.3">
      <c r="A415" t="s">
        <v>687</v>
      </c>
      <c r="B415" s="1">
        <v>45796</v>
      </c>
      <c r="C415" s="1" t="s">
        <v>1325</v>
      </c>
      <c r="D415" t="s">
        <v>688</v>
      </c>
      <c r="E415" t="s">
        <v>48</v>
      </c>
      <c r="F415" t="s">
        <v>38</v>
      </c>
      <c r="G415" t="s">
        <v>23</v>
      </c>
      <c r="H415" t="s">
        <v>40</v>
      </c>
      <c r="I415">
        <v>0</v>
      </c>
      <c r="J415">
        <v>74179</v>
      </c>
      <c r="K415">
        <v>0</v>
      </c>
      <c r="L415">
        <v>0</v>
      </c>
      <c r="M415">
        <v>0</v>
      </c>
      <c r="N415">
        <v>478</v>
      </c>
      <c r="O415">
        <v>70</v>
      </c>
      <c r="P415" t="s">
        <v>32</v>
      </c>
      <c r="Q415">
        <v>372458</v>
      </c>
      <c r="R415" t="s">
        <v>49</v>
      </c>
      <c r="S415" t="s">
        <v>27</v>
      </c>
      <c r="T415" t="s">
        <v>45</v>
      </c>
    </row>
    <row r="416" spans="1:20" x14ac:dyDescent="0.3">
      <c r="A416" t="s">
        <v>689</v>
      </c>
      <c r="B416" s="1">
        <v>45917</v>
      </c>
      <c r="C416" s="1" t="s">
        <v>1329</v>
      </c>
      <c r="D416" t="s">
        <v>202</v>
      </c>
      <c r="E416" t="s">
        <v>37</v>
      </c>
      <c r="F416" t="s">
        <v>22</v>
      </c>
      <c r="G416" t="s">
        <v>39</v>
      </c>
      <c r="H416" t="s">
        <v>56</v>
      </c>
      <c r="I416">
        <v>129994</v>
      </c>
      <c r="J416">
        <v>0</v>
      </c>
      <c r="K416">
        <v>0</v>
      </c>
      <c r="L416">
        <v>0</v>
      </c>
      <c r="M416">
        <v>0</v>
      </c>
      <c r="N416">
        <v>826</v>
      </c>
      <c r="O416">
        <v>25</v>
      </c>
      <c r="P416" t="s">
        <v>32</v>
      </c>
      <c r="Q416">
        <v>2913332</v>
      </c>
      <c r="R416" t="s">
        <v>49</v>
      </c>
      <c r="S416" t="s">
        <v>27</v>
      </c>
      <c r="T416" t="s">
        <v>41</v>
      </c>
    </row>
    <row r="417" spans="1:20" x14ac:dyDescent="0.3">
      <c r="A417" t="s">
        <v>690</v>
      </c>
      <c r="B417" s="1">
        <v>45683</v>
      </c>
      <c r="C417" s="1" t="s">
        <v>1321</v>
      </c>
      <c r="D417" t="s">
        <v>100</v>
      </c>
      <c r="E417" t="s">
        <v>37</v>
      </c>
      <c r="F417" t="s">
        <v>64</v>
      </c>
      <c r="G417" t="s">
        <v>68</v>
      </c>
      <c r="H417" t="s">
        <v>40</v>
      </c>
      <c r="I417">
        <v>0</v>
      </c>
      <c r="J417">
        <v>72748</v>
      </c>
      <c r="K417">
        <v>0</v>
      </c>
      <c r="L417">
        <v>0</v>
      </c>
      <c r="M417">
        <v>0</v>
      </c>
      <c r="N417">
        <v>717</v>
      </c>
      <c r="O417">
        <v>68</v>
      </c>
      <c r="P417" t="s">
        <v>25</v>
      </c>
      <c r="Q417">
        <v>2303532</v>
      </c>
      <c r="R417" t="s">
        <v>49</v>
      </c>
      <c r="S417" t="s">
        <v>27</v>
      </c>
      <c r="T417" t="s">
        <v>60</v>
      </c>
    </row>
    <row r="418" spans="1:20" x14ac:dyDescent="0.3">
      <c r="A418" t="s">
        <v>691</v>
      </c>
      <c r="B418" s="1">
        <v>45932</v>
      </c>
      <c r="C418" s="1" t="s">
        <v>1330</v>
      </c>
      <c r="D418" t="s">
        <v>258</v>
      </c>
      <c r="E418" t="s">
        <v>63</v>
      </c>
      <c r="F418" t="s">
        <v>38</v>
      </c>
      <c r="G418" t="s">
        <v>59</v>
      </c>
      <c r="H418" t="s">
        <v>52</v>
      </c>
      <c r="I418">
        <v>0</v>
      </c>
      <c r="J418">
        <v>0</v>
      </c>
      <c r="K418">
        <v>0</v>
      </c>
      <c r="L418">
        <v>4106</v>
      </c>
      <c r="M418">
        <v>0</v>
      </c>
      <c r="N418">
        <v>865</v>
      </c>
      <c r="O418">
        <v>65</v>
      </c>
      <c r="P418" t="s">
        <v>25</v>
      </c>
      <c r="Q418">
        <v>2380355</v>
      </c>
      <c r="R418" t="s">
        <v>49</v>
      </c>
      <c r="S418" t="s">
        <v>71</v>
      </c>
      <c r="T418" t="s">
        <v>28</v>
      </c>
    </row>
    <row r="419" spans="1:20" x14ac:dyDescent="0.3">
      <c r="A419" t="s">
        <v>692</v>
      </c>
      <c r="B419" s="1">
        <v>45836</v>
      </c>
      <c r="C419" s="1" t="s">
        <v>1326</v>
      </c>
      <c r="D419" t="s">
        <v>480</v>
      </c>
      <c r="E419" t="s">
        <v>55</v>
      </c>
      <c r="F419" t="s">
        <v>44</v>
      </c>
      <c r="G419" t="s">
        <v>23</v>
      </c>
      <c r="H419" t="s">
        <v>52</v>
      </c>
      <c r="I419">
        <v>0</v>
      </c>
      <c r="J419">
        <v>0</v>
      </c>
      <c r="K419">
        <v>0</v>
      </c>
      <c r="L419">
        <v>23459</v>
      </c>
      <c r="M419">
        <v>0</v>
      </c>
      <c r="N419">
        <v>345</v>
      </c>
      <c r="O419">
        <v>38</v>
      </c>
      <c r="P419" t="s">
        <v>25</v>
      </c>
      <c r="Q419">
        <v>201213</v>
      </c>
      <c r="R419" t="s">
        <v>49</v>
      </c>
      <c r="S419" t="s">
        <v>33</v>
      </c>
      <c r="T419" t="s">
        <v>60</v>
      </c>
    </row>
    <row r="420" spans="1:20" x14ac:dyDescent="0.3">
      <c r="A420" t="s">
        <v>693</v>
      </c>
      <c r="B420" s="1">
        <v>45817</v>
      </c>
      <c r="C420" s="1" t="s">
        <v>1326</v>
      </c>
      <c r="D420" t="s">
        <v>688</v>
      </c>
      <c r="E420" t="s">
        <v>37</v>
      </c>
      <c r="F420" t="s">
        <v>64</v>
      </c>
      <c r="G420" t="s">
        <v>39</v>
      </c>
      <c r="H420" t="s">
        <v>52</v>
      </c>
      <c r="I420">
        <v>0</v>
      </c>
      <c r="J420">
        <v>0</v>
      </c>
      <c r="K420">
        <v>0</v>
      </c>
      <c r="L420">
        <v>19128</v>
      </c>
      <c r="M420">
        <v>0</v>
      </c>
      <c r="N420">
        <v>811</v>
      </c>
      <c r="O420">
        <v>48</v>
      </c>
      <c r="P420" t="s">
        <v>32</v>
      </c>
      <c r="Q420">
        <v>819289</v>
      </c>
      <c r="R420" t="s">
        <v>26</v>
      </c>
      <c r="S420" t="s">
        <v>33</v>
      </c>
      <c r="T420" t="s">
        <v>41</v>
      </c>
    </row>
    <row r="421" spans="1:20" x14ac:dyDescent="0.3">
      <c r="A421" t="s">
        <v>694</v>
      </c>
      <c r="B421" s="1">
        <v>45989</v>
      </c>
      <c r="C421" s="1" t="s">
        <v>1331</v>
      </c>
      <c r="D421" t="s">
        <v>695</v>
      </c>
      <c r="E421" t="s">
        <v>55</v>
      </c>
      <c r="F421" t="s">
        <v>21</v>
      </c>
      <c r="G421" t="s">
        <v>59</v>
      </c>
      <c r="H421" t="s">
        <v>40</v>
      </c>
      <c r="I421">
        <v>0</v>
      </c>
      <c r="J421">
        <v>9151</v>
      </c>
      <c r="K421">
        <v>0</v>
      </c>
      <c r="L421">
        <v>0</v>
      </c>
      <c r="M421">
        <v>0</v>
      </c>
      <c r="N421">
        <v>465</v>
      </c>
      <c r="O421">
        <v>30</v>
      </c>
      <c r="P421" t="s">
        <v>32</v>
      </c>
      <c r="Q421">
        <v>764916</v>
      </c>
      <c r="R421" t="s">
        <v>26</v>
      </c>
      <c r="S421" t="s">
        <v>27</v>
      </c>
      <c r="T421" t="s">
        <v>34</v>
      </c>
    </row>
    <row r="422" spans="1:20" x14ac:dyDescent="0.3">
      <c r="A422" t="s">
        <v>696</v>
      </c>
      <c r="B422" s="1">
        <v>45916</v>
      </c>
      <c r="C422" s="1" t="s">
        <v>1329</v>
      </c>
      <c r="D422" t="s">
        <v>348</v>
      </c>
      <c r="E422" t="s">
        <v>21</v>
      </c>
      <c r="F422" t="s">
        <v>22</v>
      </c>
      <c r="G422" t="s">
        <v>68</v>
      </c>
      <c r="H422" t="s">
        <v>31</v>
      </c>
      <c r="I422">
        <v>0</v>
      </c>
      <c r="J422">
        <v>0</v>
      </c>
      <c r="K422">
        <v>1981103</v>
      </c>
      <c r="L422">
        <v>0</v>
      </c>
      <c r="M422">
        <v>0</v>
      </c>
      <c r="N422">
        <v>407</v>
      </c>
      <c r="O422">
        <v>63</v>
      </c>
      <c r="P422" t="s">
        <v>25</v>
      </c>
      <c r="Q422">
        <v>1477139</v>
      </c>
      <c r="R422" t="s">
        <v>26</v>
      </c>
      <c r="S422" t="s">
        <v>65</v>
      </c>
      <c r="T422" t="s">
        <v>41</v>
      </c>
    </row>
    <row r="423" spans="1:20" x14ac:dyDescent="0.3">
      <c r="A423" t="s">
        <v>697</v>
      </c>
      <c r="B423" s="1">
        <v>45677</v>
      </c>
      <c r="C423" s="1" t="s">
        <v>1321</v>
      </c>
      <c r="D423" t="s">
        <v>698</v>
      </c>
      <c r="E423" t="s">
        <v>63</v>
      </c>
      <c r="F423" t="s">
        <v>21</v>
      </c>
      <c r="G423" t="s">
        <v>23</v>
      </c>
      <c r="H423" t="s">
        <v>24</v>
      </c>
      <c r="I423">
        <v>0</v>
      </c>
      <c r="J423">
        <v>0</v>
      </c>
      <c r="K423">
        <v>0</v>
      </c>
      <c r="L423">
        <v>0</v>
      </c>
      <c r="M423">
        <v>9708.66</v>
      </c>
      <c r="N423">
        <v>627</v>
      </c>
      <c r="O423">
        <v>58</v>
      </c>
      <c r="P423" t="s">
        <v>32</v>
      </c>
      <c r="Q423">
        <v>2670633</v>
      </c>
      <c r="R423" t="s">
        <v>49</v>
      </c>
      <c r="S423" t="s">
        <v>27</v>
      </c>
      <c r="T423" t="s">
        <v>60</v>
      </c>
    </row>
    <row r="424" spans="1:20" x14ac:dyDescent="0.3">
      <c r="A424" t="s">
        <v>699</v>
      </c>
      <c r="B424" s="1">
        <v>45871</v>
      </c>
      <c r="C424" s="1" t="s">
        <v>1328</v>
      </c>
      <c r="D424" t="s">
        <v>700</v>
      </c>
      <c r="E424" t="s">
        <v>77</v>
      </c>
      <c r="F424" t="s">
        <v>38</v>
      </c>
      <c r="G424" t="s">
        <v>39</v>
      </c>
      <c r="H424" t="s">
        <v>52</v>
      </c>
      <c r="I424">
        <v>0</v>
      </c>
      <c r="J424">
        <v>0</v>
      </c>
      <c r="K424">
        <v>0</v>
      </c>
      <c r="L424">
        <v>20883</v>
      </c>
      <c r="M424">
        <v>0</v>
      </c>
      <c r="N424">
        <v>820</v>
      </c>
      <c r="O424">
        <v>65</v>
      </c>
      <c r="P424" t="s">
        <v>25</v>
      </c>
      <c r="Q424">
        <v>2995080</v>
      </c>
      <c r="R424" t="s">
        <v>26</v>
      </c>
      <c r="S424" t="s">
        <v>74</v>
      </c>
      <c r="T424" t="s">
        <v>45</v>
      </c>
    </row>
    <row r="425" spans="1:20" x14ac:dyDescent="0.3">
      <c r="A425" t="s">
        <v>701</v>
      </c>
      <c r="B425" s="1">
        <v>46001</v>
      </c>
      <c r="C425" s="1" t="s">
        <v>1332</v>
      </c>
      <c r="D425" t="s">
        <v>702</v>
      </c>
      <c r="E425" t="s">
        <v>37</v>
      </c>
      <c r="F425" t="s">
        <v>38</v>
      </c>
      <c r="G425" t="s">
        <v>23</v>
      </c>
      <c r="H425" t="s">
        <v>24</v>
      </c>
      <c r="I425">
        <v>0</v>
      </c>
      <c r="J425">
        <v>0</v>
      </c>
      <c r="K425">
        <v>0</v>
      </c>
      <c r="L425">
        <v>0</v>
      </c>
      <c r="M425">
        <v>1869.11</v>
      </c>
      <c r="N425">
        <v>846</v>
      </c>
      <c r="O425">
        <v>51</v>
      </c>
      <c r="P425" t="s">
        <v>25</v>
      </c>
      <c r="Q425">
        <v>2403796</v>
      </c>
      <c r="R425" t="s">
        <v>49</v>
      </c>
      <c r="S425" t="s">
        <v>27</v>
      </c>
      <c r="T425" t="s">
        <v>60</v>
      </c>
    </row>
    <row r="426" spans="1:20" x14ac:dyDescent="0.3">
      <c r="A426" t="s">
        <v>703</v>
      </c>
      <c r="B426" s="1">
        <v>45808</v>
      </c>
      <c r="C426" s="1" t="s">
        <v>1325</v>
      </c>
      <c r="D426" t="s">
        <v>274</v>
      </c>
      <c r="E426" t="s">
        <v>77</v>
      </c>
      <c r="F426" t="s">
        <v>21</v>
      </c>
      <c r="G426" t="s">
        <v>39</v>
      </c>
      <c r="H426" t="s">
        <v>52</v>
      </c>
      <c r="I426">
        <v>0</v>
      </c>
      <c r="J426">
        <v>0</v>
      </c>
      <c r="K426">
        <v>0</v>
      </c>
      <c r="L426">
        <v>12073</v>
      </c>
      <c r="M426">
        <v>0</v>
      </c>
      <c r="N426">
        <v>608</v>
      </c>
      <c r="O426">
        <v>70</v>
      </c>
      <c r="P426" t="s">
        <v>32</v>
      </c>
      <c r="Q426">
        <v>1382150</v>
      </c>
      <c r="R426" t="s">
        <v>49</v>
      </c>
      <c r="S426" t="s">
        <v>71</v>
      </c>
      <c r="T426" t="s">
        <v>34</v>
      </c>
    </row>
    <row r="427" spans="1:20" x14ac:dyDescent="0.3">
      <c r="A427" t="s">
        <v>704</v>
      </c>
      <c r="B427" s="1">
        <v>45998</v>
      </c>
      <c r="C427" s="1" t="s">
        <v>1332</v>
      </c>
      <c r="D427" t="s">
        <v>223</v>
      </c>
      <c r="E427" t="s">
        <v>48</v>
      </c>
      <c r="F427" t="s">
        <v>21</v>
      </c>
      <c r="G427" t="s">
        <v>59</v>
      </c>
      <c r="H427" t="s">
        <v>40</v>
      </c>
      <c r="I427">
        <v>0</v>
      </c>
      <c r="J427">
        <v>77261</v>
      </c>
      <c r="K427">
        <v>0</v>
      </c>
      <c r="L427">
        <v>0</v>
      </c>
      <c r="M427">
        <v>0</v>
      </c>
      <c r="N427">
        <v>891</v>
      </c>
      <c r="O427">
        <v>20</v>
      </c>
      <c r="P427" t="s">
        <v>25</v>
      </c>
      <c r="Q427">
        <v>1312105</v>
      </c>
      <c r="R427" t="s">
        <v>49</v>
      </c>
      <c r="S427" t="s">
        <v>27</v>
      </c>
      <c r="T427" t="s">
        <v>60</v>
      </c>
    </row>
    <row r="428" spans="1:20" x14ac:dyDescent="0.3">
      <c r="A428" t="s">
        <v>706</v>
      </c>
      <c r="B428" s="1">
        <v>45970</v>
      </c>
      <c r="C428" s="1" t="s">
        <v>1331</v>
      </c>
      <c r="D428" t="s">
        <v>279</v>
      </c>
      <c r="E428" t="s">
        <v>48</v>
      </c>
      <c r="F428" t="s">
        <v>44</v>
      </c>
      <c r="G428" t="s">
        <v>23</v>
      </c>
      <c r="H428" t="s">
        <v>56</v>
      </c>
      <c r="I428">
        <v>181643</v>
      </c>
      <c r="J428">
        <v>0</v>
      </c>
      <c r="K428">
        <v>0</v>
      </c>
      <c r="L428">
        <v>0</v>
      </c>
      <c r="M428">
        <v>0</v>
      </c>
      <c r="N428">
        <v>337</v>
      </c>
      <c r="O428">
        <v>52</v>
      </c>
      <c r="P428" t="s">
        <v>25</v>
      </c>
      <c r="Q428">
        <v>2488567</v>
      </c>
      <c r="R428" t="s">
        <v>49</v>
      </c>
      <c r="S428" t="s">
        <v>27</v>
      </c>
      <c r="T428" t="s">
        <v>34</v>
      </c>
    </row>
    <row r="429" spans="1:20" x14ac:dyDescent="0.3">
      <c r="A429" t="s">
        <v>707</v>
      </c>
      <c r="B429" s="1">
        <v>45684</v>
      </c>
      <c r="C429" s="1" t="s">
        <v>1321</v>
      </c>
      <c r="D429" t="s">
        <v>454</v>
      </c>
      <c r="E429" t="s">
        <v>21</v>
      </c>
      <c r="F429" t="s">
        <v>21</v>
      </c>
      <c r="G429" t="s">
        <v>68</v>
      </c>
      <c r="H429" t="s">
        <v>31</v>
      </c>
      <c r="I429">
        <v>0</v>
      </c>
      <c r="J429">
        <v>0</v>
      </c>
      <c r="K429">
        <v>1065873</v>
      </c>
      <c r="L429">
        <v>0</v>
      </c>
      <c r="M429">
        <v>0</v>
      </c>
      <c r="N429">
        <v>548</v>
      </c>
      <c r="O429">
        <v>41</v>
      </c>
      <c r="P429" t="s">
        <v>32</v>
      </c>
      <c r="Q429">
        <v>1539279</v>
      </c>
      <c r="R429" t="s">
        <v>49</v>
      </c>
      <c r="S429" t="s">
        <v>65</v>
      </c>
      <c r="T429" t="s">
        <v>41</v>
      </c>
    </row>
    <row r="430" spans="1:20" x14ac:dyDescent="0.3">
      <c r="A430" t="s">
        <v>708</v>
      </c>
      <c r="B430" s="1">
        <v>45683</v>
      </c>
      <c r="C430" s="1" t="s">
        <v>1321</v>
      </c>
      <c r="D430" t="s">
        <v>537</v>
      </c>
      <c r="E430" t="s">
        <v>37</v>
      </c>
      <c r="F430" t="s">
        <v>22</v>
      </c>
      <c r="G430" t="s">
        <v>68</v>
      </c>
      <c r="H430" t="s">
        <v>52</v>
      </c>
      <c r="I430">
        <v>0</v>
      </c>
      <c r="J430">
        <v>0</v>
      </c>
      <c r="K430">
        <v>0</v>
      </c>
      <c r="L430">
        <v>9736</v>
      </c>
      <c r="M430">
        <v>0</v>
      </c>
      <c r="N430">
        <v>386</v>
      </c>
      <c r="O430">
        <v>32</v>
      </c>
      <c r="P430" t="s">
        <v>32</v>
      </c>
      <c r="Q430">
        <v>2441826</v>
      </c>
      <c r="R430" t="s">
        <v>49</v>
      </c>
      <c r="S430" t="s">
        <v>74</v>
      </c>
      <c r="T430" t="s">
        <v>41</v>
      </c>
    </row>
    <row r="431" spans="1:20" x14ac:dyDescent="0.3">
      <c r="A431" t="s">
        <v>709</v>
      </c>
      <c r="B431" s="1">
        <v>46016</v>
      </c>
      <c r="C431" s="1" t="s">
        <v>1332</v>
      </c>
      <c r="D431" t="s">
        <v>710</v>
      </c>
      <c r="E431" t="s">
        <v>55</v>
      </c>
      <c r="F431" t="s">
        <v>38</v>
      </c>
      <c r="G431" t="s">
        <v>59</v>
      </c>
      <c r="H431" t="s">
        <v>40</v>
      </c>
      <c r="I431">
        <v>0</v>
      </c>
      <c r="J431">
        <v>45113</v>
      </c>
      <c r="K431">
        <v>0</v>
      </c>
      <c r="L431">
        <v>0</v>
      </c>
      <c r="M431">
        <v>0</v>
      </c>
      <c r="N431">
        <v>540</v>
      </c>
      <c r="O431">
        <v>63</v>
      </c>
      <c r="P431" t="s">
        <v>25</v>
      </c>
      <c r="Q431">
        <v>862126</v>
      </c>
      <c r="R431" t="s">
        <v>49</v>
      </c>
      <c r="S431" t="s">
        <v>27</v>
      </c>
      <c r="T431" t="s">
        <v>34</v>
      </c>
    </row>
    <row r="432" spans="1:20" x14ac:dyDescent="0.3">
      <c r="A432" t="s">
        <v>711</v>
      </c>
      <c r="B432" s="1">
        <v>45716</v>
      </c>
      <c r="C432" s="1" t="s">
        <v>1322</v>
      </c>
      <c r="D432" t="s">
        <v>120</v>
      </c>
      <c r="E432" t="s">
        <v>37</v>
      </c>
      <c r="F432" t="s">
        <v>44</v>
      </c>
      <c r="G432" t="s">
        <v>59</v>
      </c>
      <c r="H432" t="s">
        <v>52</v>
      </c>
      <c r="I432">
        <v>0</v>
      </c>
      <c r="J432">
        <v>0</v>
      </c>
      <c r="K432">
        <v>0</v>
      </c>
      <c r="L432">
        <v>23728</v>
      </c>
      <c r="M432">
        <v>0</v>
      </c>
      <c r="N432">
        <v>862</v>
      </c>
      <c r="O432">
        <v>32</v>
      </c>
      <c r="P432" t="s">
        <v>25</v>
      </c>
      <c r="Q432">
        <v>1147629</v>
      </c>
      <c r="R432" t="s">
        <v>26</v>
      </c>
      <c r="S432" t="s">
        <v>71</v>
      </c>
      <c r="T432" t="s">
        <v>41</v>
      </c>
    </row>
    <row r="433" spans="1:20" x14ac:dyDescent="0.3">
      <c r="A433" t="s">
        <v>712</v>
      </c>
      <c r="B433" s="1">
        <v>45982</v>
      </c>
      <c r="C433" s="1" t="s">
        <v>1331</v>
      </c>
      <c r="D433" t="s">
        <v>601</v>
      </c>
      <c r="E433" t="s">
        <v>48</v>
      </c>
      <c r="F433" t="s">
        <v>64</v>
      </c>
      <c r="G433" t="s">
        <v>39</v>
      </c>
      <c r="H433" t="s">
        <v>40</v>
      </c>
      <c r="I433">
        <v>0</v>
      </c>
      <c r="J433">
        <v>84671</v>
      </c>
      <c r="K433">
        <v>0</v>
      </c>
      <c r="L433">
        <v>0</v>
      </c>
      <c r="M433">
        <v>0</v>
      </c>
      <c r="N433">
        <v>471</v>
      </c>
      <c r="O433">
        <v>65</v>
      </c>
      <c r="P433" t="s">
        <v>25</v>
      </c>
      <c r="Q433">
        <v>1521125</v>
      </c>
      <c r="R433" t="s">
        <v>26</v>
      </c>
      <c r="S433" t="s">
        <v>27</v>
      </c>
      <c r="T433" t="s">
        <v>60</v>
      </c>
    </row>
    <row r="434" spans="1:20" x14ac:dyDescent="0.3">
      <c r="A434" t="s">
        <v>713</v>
      </c>
      <c r="B434" s="1">
        <v>45979</v>
      </c>
      <c r="C434" s="1" t="s">
        <v>1331</v>
      </c>
      <c r="D434" t="s">
        <v>695</v>
      </c>
      <c r="E434" t="s">
        <v>77</v>
      </c>
      <c r="F434" t="s">
        <v>38</v>
      </c>
      <c r="G434" t="s">
        <v>23</v>
      </c>
      <c r="H434" t="s">
        <v>24</v>
      </c>
      <c r="I434">
        <v>0</v>
      </c>
      <c r="J434">
        <v>0</v>
      </c>
      <c r="K434">
        <v>0</v>
      </c>
      <c r="L434">
        <v>0</v>
      </c>
      <c r="M434">
        <v>6960.02</v>
      </c>
      <c r="N434">
        <v>317</v>
      </c>
      <c r="O434">
        <v>35</v>
      </c>
      <c r="P434" t="s">
        <v>32</v>
      </c>
      <c r="Q434">
        <f>MEDIAN(201200,3000000)</f>
        <v>1600600</v>
      </c>
      <c r="R434" t="s">
        <v>49</v>
      </c>
      <c r="S434" t="s">
        <v>27</v>
      </c>
      <c r="T434" t="s">
        <v>41</v>
      </c>
    </row>
    <row r="435" spans="1:20" x14ac:dyDescent="0.3">
      <c r="A435" t="s">
        <v>714</v>
      </c>
      <c r="B435" s="1">
        <v>45859</v>
      </c>
      <c r="C435" s="1" t="s">
        <v>1327</v>
      </c>
      <c r="D435" t="s">
        <v>67</v>
      </c>
      <c r="E435" t="s">
        <v>21</v>
      </c>
      <c r="F435" t="s">
        <v>44</v>
      </c>
      <c r="G435" t="s">
        <v>23</v>
      </c>
      <c r="H435" t="s">
        <v>31</v>
      </c>
      <c r="I435">
        <v>0</v>
      </c>
      <c r="J435">
        <v>0</v>
      </c>
      <c r="K435">
        <v>239550</v>
      </c>
      <c r="L435">
        <v>0</v>
      </c>
      <c r="M435">
        <v>0</v>
      </c>
      <c r="N435">
        <v>407</v>
      </c>
      <c r="O435">
        <v>20</v>
      </c>
      <c r="P435" t="s">
        <v>25</v>
      </c>
      <c r="Q435">
        <v>1787559</v>
      </c>
      <c r="R435" t="s">
        <v>49</v>
      </c>
      <c r="S435" t="s">
        <v>33</v>
      </c>
      <c r="T435" t="s">
        <v>45</v>
      </c>
    </row>
    <row r="436" spans="1:20" x14ac:dyDescent="0.3">
      <c r="A436" t="s">
        <v>715</v>
      </c>
      <c r="B436" s="1">
        <v>45710</v>
      </c>
      <c r="C436" s="1" t="s">
        <v>1322</v>
      </c>
      <c r="D436" t="s">
        <v>148</v>
      </c>
      <c r="E436" t="s">
        <v>77</v>
      </c>
      <c r="F436" t="s">
        <v>38</v>
      </c>
      <c r="G436" t="s">
        <v>68</v>
      </c>
      <c r="H436" t="s">
        <v>31</v>
      </c>
      <c r="I436">
        <v>0</v>
      </c>
      <c r="J436">
        <v>0</v>
      </c>
      <c r="K436">
        <v>116354</v>
      </c>
      <c r="L436">
        <v>0</v>
      </c>
      <c r="M436">
        <v>0</v>
      </c>
      <c r="N436">
        <v>683</v>
      </c>
      <c r="O436">
        <v>52</v>
      </c>
      <c r="P436" t="s">
        <v>25</v>
      </c>
      <c r="Q436">
        <v>1216837</v>
      </c>
      <c r="R436" t="s">
        <v>49</v>
      </c>
      <c r="S436" t="s">
        <v>65</v>
      </c>
      <c r="T436" t="s">
        <v>41</v>
      </c>
    </row>
    <row r="437" spans="1:20" x14ac:dyDescent="0.3">
      <c r="A437" t="s">
        <v>716</v>
      </c>
      <c r="B437" s="1">
        <v>45726</v>
      </c>
      <c r="C437" s="1" t="s">
        <v>1323</v>
      </c>
      <c r="D437" t="s">
        <v>561</v>
      </c>
      <c r="E437" t="s">
        <v>37</v>
      </c>
      <c r="F437" t="s">
        <v>38</v>
      </c>
      <c r="G437" t="s">
        <v>59</v>
      </c>
      <c r="H437" t="s">
        <v>56</v>
      </c>
      <c r="I437">
        <v>119417</v>
      </c>
      <c r="J437">
        <v>0</v>
      </c>
      <c r="K437">
        <v>0</v>
      </c>
      <c r="L437">
        <v>0</v>
      </c>
      <c r="M437">
        <v>0</v>
      </c>
      <c r="N437">
        <v>896</v>
      </c>
      <c r="O437">
        <v>57</v>
      </c>
      <c r="P437" t="s">
        <v>25</v>
      </c>
      <c r="Q437">
        <v>1325787</v>
      </c>
      <c r="R437" t="s">
        <v>26</v>
      </c>
      <c r="S437" t="s">
        <v>27</v>
      </c>
      <c r="T437" t="s">
        <v>60</v>
      </c>
    </row>
    <row r="438" spans="1:20" x14ac:dyDescent="0.3">
      <c r="A438" t="s">
        <v>717</v>
      </c>
      <c r="B438" s="1">
        <v>45982</v>
      </c>
      <c r="C438" s="1" t="s">
        <v>1331</v>
      </c>
      <c r="D438" t="s">
        <v>718</v>
      </c>
      <c r="E438" t="s">
        <v>48</v>
      </c>
      <c r="F438" t="s">
        <v>64</v>
      </c>
      <c r="G438" t="s">
        <v>23</v>
      </c>
      <c r="H438" t="s">
        <v>40</v>
      </c>
      <c r="I438">
        <v>0</v>
      </c>
      <c r="J438">
        <v>10594</v>
      </c>
      <c r="K438">
        <v>0</v>
      </c>
      <c r="L438">
        <v>0</v>
      </c>
      <c r="M438">
        <v>0</v>
      </c>
      <c r="N438">
        <v>820</v>
      </c>
      <c r="O438">
        <v>55</v>
      </c>
      <c r="P438" t="s">
        <v>32</v>
      </c>
      <c r="Q438">
        <v>1776042</v>
      </c>
      <c r="R438" t="s">
        <v>49</v>
      </c>
      <c r="S438" t="s">
        <v>27</v>
      </c>
      <c r="T438" t="s">
        <v>45</v>
      </c>
    </row>
    <row r="439" spans="1:20" x14ac:dyDescent="0.3">
      <c r="A439" t="s">
        <v>719</v>
      </c>
      <c r="B439" s="1">
        <v>45789</v>
      </c>
      <c r="C439" s="1" t="s">
        <v>1325</v>
      </c>
      <c r="D439" t="s">
        <v>388</v>
      </c>
      <c r="E439" t="s">
        <v>55</v>
      </c>
      <c r="F439" t="s">
        <v>21</v>
      </c>
      <c r="G439" t="s">
        <v>59</v>
      </c>
      <c r="H439" t="s">
        <v>31</v>
      </c>
      <c r="I439">
        <v>0</v>
      </c>
      <c r="J439">
        <v>0</v>
      </c>
      <c r="K439">
        <v>1563087</v>
      </c>
      <c r="L439">
        <v>0</v>
      </c>
      <c r="M439">
        <v>0</v>
      </c>
      <c r="N439">
        <v>715</v>
      </c>
      <c r="O439">
        <v>69</v>
      </c>
      <c r="P439" t="s">
        <v>25</v>
      </c>
      <c r="Q439">
        <v>2011378</v>
      </c>
      <c r="R439" t="s">
        <v>26</v>
      </c>
      <c r="S439" t="s">
        <v>33</v>
      </c>
      <c r="T439" t="s">
        <v>28</v>
      </c>
    </row>
    <row r="440" spans="1:20" x14ac:dyDescent="0.3">
      <c r="A440" t="s">
        <v>720</v>
      </c>
      <c r="B440" s="1">
        <v>45730</v>
      </c>
      <c r="C440" s="1" t="s">
        <v>1323</v>
      </c>
      <c r="D440" t="s">
        <v>80</v>
      </c>
      <c r="E440" t="s">
        <v>21</v>
      </c>
      <c r="F440" t="s">
        <v>44</v>
      </c>
      <c r="G440" t="s">
        <v>59</v>
      </c>
      <c r="H440" t="s">
        <v>31</v>
      </c>
      <c r="I440">
        <v>0</v>
      </c>
      <c r="J440">
        <v>0</v>
      </c>
      <c r="K440">
        <v>0</v>
      </c>
      <c r="L440">
        <v>0</v>
      </c>
      <c r="M440">
        <v>0</v>
      </c>
      <c r="N440">
        <v>730</v>
      </c>
      <c r="O440">
        <v>39</v>
      </c>
      <c r="P440" t="s">
        <v>25</v>
      </c>
      <c r="Q440">
        <v>2681513</v>
      </c>
      <c r="R440" t="s">
        <v>26</v>
      </c>
      <c r="S440" t="s">
        <v>33</v>
      </c>
      <c r="T440" t="s">
        <v>34</v>
      </c>
    </row>
    <row r="441" spans="1:20" x14ac:dyDescent="0.3">
      <c r="A441" t="s">
        <v>721</v>
      </c>
      <c r="B441" s="1">
        <v>45723</v>
      </c>
      <c r="C441" s="1" t="s">
        <v>1323</v>
      </c>
      <c r="D441" t="s">
        <v>452</v>
      </c>
      <c r="E441" t="s">
        <v>63</v>
      </c>
      <c r="F441" t="s">
        <v>44</v>
      </c>
      <c r="G441" t="s">
        <v>39</v>
      </c>
      <c r="H441" t="s">
        <v>40</v>
      </c>
      <c r="I441">
        <v>0</v>
      </c>
      <c r="J441">
        <v>84066</v>
      </c>
      <c r="K441">
        <v>0</v>
      </c>
      <c r="L441">
        <v>0</v>
      </c>
      <c r="M441">
        <v>0</v>
      </c>
      <c r="N441">
        <v>312</v>
      </c>
      <c r="O441">
        <v>62</v>
      </c>
      <c r="P441" t="s">
        <v>25</v>
      </c>
      <c r="Q441">
        <v>977600</v>
      </c>
      <c r="R441" t="s">
        <v>26</v>
      </c>
      <c r="S441" t="s">
        <v>27</v>
      </c>
      <c r="T441" t="s">
        <v>45</v>
      </c>
    </row>
    <row r="442" spans="1:20" x14ac:dyDescent="0.3">
      <c r="A442" t="s">
        <v>722</v>
      </c>
      <c r="B442" s="1">
        <v>45967</v>
      </c>
      <c r="C442" s="1" t="s">
        <v>1331</v>
      </c>
      <c r="D442" t="s">
        <v>332</v>
      </c>
      <c r="E442" t="s">
        <v>37</v>
      </c>
      <c r="F442" t="s">
        <v>21</v>
      </c>
      <c r="G442" t="s">
        <v>59</v>
      </c>
      <c r="H442" t="s">
        <v>31</v>
      </c>
      <c r="I442">
        <v>0</v>
      </c>
      <c r="J442">
        <v>0</v>
      </c>
      <c r="K442">
        <v>1112592</v>
      </c>
      <c r="L442">
        <v>0</v>
      </c>
      <c r="M442">
        <v>0</v>
      </c>
      <c r="N442">
        <v>670</v>
      </c>
      <c r="O442">
        <v>70</v>
      </c>
      <c r="P442" t="s">
        <v>32</v>
      </c>
      <c r="Q442">
        <v>1417069</v>
      </c>
      <c r="R442" t="s">
        <v>49</v>
      </c>
      <c r="S442" t="s">
        <v>33</v>
      </c>
      <c r="T442" t="s">
        <v>41</v>
      </c>
    </row>
    <row r="443" spans="1:20" x14ac:dyDescent="0.3">
      <c r="A443" t="s">
        <v>723</v>
      </c>
      <c r="B443" s="1">
        <v>45881</v>
      </c>
      <c r="C443" s="1" t="s">
        <v>1328</v>
      </c>
      <c r="D443" t="s">
        <v>724</v>
      </c>
      <c r="E443" t="s">
        <v>77</v>
      </c>
      <c r="F443" t="s">
        <v>38</v>
      </c>
      <c r="G443" t="s">
        <v>23</v>
      </c>
      <c r="H443" t="s">
        <v>24</v>
      </c>
      <c r="I443">
        <v>0</v>
      </c>
      <c r="J443">
        <v>0</v>
      </c>
      <c r="K443">
        <v>0</v>
      </c>
      <c r="L443">
        <v>0</v>
      </c>
      <c r="M443">
        <v>1386.98</v>
      </c>
      <c r="N443">
        <v>820</v>
      </c>
      <c r="O443">
        <v>30</v>
      </c>
      <c r="P443" t="s">
        <v>32</v>
      </c>
      <c r="Q443">
        <v>529812</v>
      </c>
      <c r="R443" t="s">
        <v>26</v>
      </c>
      <c r="S443" t="s">
        <v>27</v>
      </c>
      <c r="T443" t="s">
        <v>45</v>
      </c>
    </row>
    <row r="444" spans="1:20" x14ac:dyDescent="0.3">
      <c r="A444" t="s">
        <v>725</v>
      </c>
      <c r="B444" s="1">
        <v>45936</v>
      </c>
      <c r="C444" s="1" t="s">
        <v>1330</v>
      </c>
      <c r="D444" t="s">
        <v>385</v>
      </c>
      <c r="E444" t="s">
        <v>48</v>
      </c>
      <c r="F444" t="s">
        <v>22</v>
      </c>
      <c r="G444" t="s">
        <v>68</v>
      </c>
      <c r="H444" t="s">
        <v>56</v>
      </c>
      <c r="I444">
        <v>104006</v>
      </c>
      <c r="J444">
        <v>0</v>
      </c>
      <c r="K444">
        <v>0</v>
      </c>
      <c r="L444">
        <v>0</v>
      </c>
      <c r="M444">
        <v>0</v>
      </c>
      <c r="N444">
        <v>670</v>
      </c>
      <c r="O444">
        <v>36</v>
      </c>
      <c r="P444" t="s">
        <v>32</v>
      </c>
      <c r="Q444">
        <v>1710634</v>
      </c>
      <c r="R444" t="s">
        <v>49</v>
      </c>
      <c r="S444" t="s">
        <v>27</v>
      </c>
      <c r="T444" t="s">
        <v>45</v>
      </c>
    </row>
    <row r="445" spans="1:20" x14ac:dyDescent="0.3">
      <c r="A445" t="s">
        <v>726</v>
      </c>
      <c r="B445" s="1">
        <v>45841</v>
      </c>
      <c r="C445" s="1" t="s">
        <v>1327</v>
      </c>
      <c r="D445" t="s">
        <v>116</v>
      </c>
      <c r="E445" t="s">
        <v>21</v>
      </c>
      <c r="F445" t="s">
        <v>64</v>
      </c>
      <c r="G445" t="s">
        <v>59</v>
      </c>
      <c r="H445" t="s">
        <v>52</v>
      </c>
      <c r="I445">
        <v>0</v>
      </c>
      <c r="J445">
        <v>0</v>
      </c>
      <c r="K445">
        <v>0</v>
      </c>
      <c r="L445">
        <v>46325</v>
      </c>
      <c r="M445">
        <v>0</v>
      </c>
      <c r="N445">
        <v>706</v>
      </c>
      <c r="O445">
        <v>58</v>
      </c>
      <c r="P445" t="s">
        <v>32</v>
      </c>
      <c r="Q445">
        <v>1820839</v>
      </c>
      <c r="R445" t="s">
        <v>49</v>
      </c>
      <c r="S445" t="s">
        <v>71</v>
      </c>
      <c r="T445" t="s">
        <v>28</v>
      </c>
    </row>
    <row r="446" spans="1:20" x14ac:dyDescent="0.3">
      <c r="A446" t="s">
        <v>727</v>
      </c>
      <c r="B446" s="1">
        <v>46009</v>
      </c>
      <c r="C446" s="1" t="s">
        <v>1332</v>
      </c>
      <c r="D446" t="s">
        <v>256</v>
      </c>
      <c r="E446" t="s">
        <v>55</v>
      </c>
      <c r="F446" t="s">
        <v>22</v>
      </c>
      <c r="G446" t="s">
        <v>59</v>
      </c>
      <c r="H446" t="s">
        <v>24</v>
      </c>
      <c r="I446">
        <v>0</v>
      </c>
      <c r="J446">
        <v>0</v>
      </c>
      <c r="K446">
        <v>0</v>
      </c>
      <c r="L446">
        <v>0</v>
      </c>
      <c r="M446">
        <v>9488.25</v>
      </c>
      <c r="N446">
        <v>417</v>
      </c>
      <c r="O446">
        <v>63</v>
      </c>
      <c r="P446" t="s">
        <v>25</v>
      </c>
      <c r="Q446">
        <v>1537610</v>
      </c>
      <c r="R446" t="s">
        <v>49</v>
      </c>
      <c r="S446" t="s">
        <v>27</v>
      </c>
      <c r="T446" t="s">
        <v>41</v>
      </c>
    </row>
    <row r="447" spans="1:20" x14ac:dyDescent="0.3">
      <c r="A447" t="s">
        <v>728</v>
      </c>
      <c r="B447" s="1">
        <v>45730</v>
      </c>
      <c r="C447" s="1" t="s">
        <v>1323</v>
      </c>
      <c r="D447" t="s">
        <v>729</v>
      </c>
      <c r="E447" t="s">
        <v>21</v>
      </c>
      <c r="F447" t="s">
        <v>64</v>
      </c>
      <c r="G447" t="s">
        <v>39</v>
      </c>
      <c r="H447" t="s">
        <v>52</v>
      </c>
      <c r="I447">
        <v>0</v>
      </c>
      <c r="J447">
        <v>0</v>
      </c>
      <c r="K447">
        <v>0</v>
      </c>
      <c r="L447">
        <v>10416</v>
      </c>
      <c r="M447">
        <v>0</v>
      </c>
      <c r="N447">
        <v>878</v>
      </c>
      <c r="O447">
        <v>28</v>
      </c>
      <c r="P447" t="s">
        <v>25</v>
      </c>
      <c r="Q447">
        <v>776215</v>
      </c>
      <c r="R447" t="s">
        <v>49</v>
      </c>
      <c r="S447" t="s">
        <v>33</v>
      </c>
      <c r="T447" t="s">
        <v>60</v>
      </c>
    </row>
    <row r="448" spans="1:20" x14ac:dyDescent="0.3">
      <c r="A448" t="s">
        <v>730</v>
      </c>
      <c r="B448" s="1">
        <v>45864</v>
      </c>
      <c r="C448" s="1" t="s">
        <v>1327</v>
      </c>
      <c r="D448" t="s">
        <v>293</v>
      </c>
      <c r="E448" t="s">
        <v>55</v>
      </c>
      <c r="F448" t="s">
        <v>44</v>
      </c>
      <c r="G448" t="s">
        <v>39</v>
      </c>
      <c r="H448" t="s">
        <v>56</v>
      </c>
      <c r="I448">
        <v>6720</v>
      </c>
      <c r="J448">
        <v>0</v>
      </c>
      <c r="K448">
        <v>0</v>
      </c>
      <c r="L448">
        <v>0</v>
      </c>
      <c r="M448">
        <v>0</v>
      </c>
      <c r="N448">
        <v>783</v>
      </c>
      <c r="O448">
        <v>43</v>
      </c>
      <c r="P448" t="s">
        <v>32</v>
      </c>
      <c r="Q448">
        <v>1414427</v>
      </c>
      <c r="R448" t="s">
        <v>49</v>
      </c>
      <c r="S448" t="s">
        <v>27</v>
      </c>
      <c r="T448" t="s">
        <v>28</v>
      </c>
    </row>
    <row r="449" spans="1:20" x14ac:dyDescent="0.3">
      <c r="A449" t="s">
        <v>731</v>
      </c>
      <c r="B449" s="1">
        <v>45916</v>
      </c>
      <c r="C449" s="1" t="s">
        <v>1329</v>
      </c>
      <c r="D449" t="s">
        <v>342</v>
      </c>
      <c r="E449" t="s">
        <v>63</v>
      </c>
      <c r="F449" t="s">
        <v>44</v>
      </c>
      <c r="G449" t="s">
        <v>68</v>
      </c>
      <c r="H449" t="s">
        <v>24</v>
      </c>
      <c r="I449">
        <v>0</v>
      </c>
      <c r="J449">
        <v>0</v>
      </c>
      <c r="K449">
        <v>0</v>
      </c>
      <c r="L449">
        <v>0</v>
      </c>
      <c r="M449">
        <v>0</v>
      </c>
      <c r="N449">
        <v>836</v>
      </c>
      <c r="O449">
        <v>22</v>
      </c>
      <c r="P449" t="s">
        <v>32</v>
      </c>
      <c r="Q449">
        <v>228878</v>
      </c>
      <c r="R449" t="s">
        <v>49</v>
      </c>
      <c r="S449" t="s">
        <v>27</v>
      </c>
      <c r="T449" t="s">
        <v>45</v>
      </c>
    </row>
    <row r="450" spans="1:20" x14ac:dyDescent="0.3">
      <c r="A450" t="s">
        <v>732</v>
      </c>
      <c r="B450" s="1">
        <v>45729</v>
      </c>
      <c r="C450" s="1" t="s">
        <v>1323</v>
      </c>
      <c r="D450" t="s">
        <v>209</v>
      </c>
      <c r="E450" t="s">
        <v>55</v>
      </c>
      <c r="F450" t="s">
        <v>21</v>
      </c>
      <c r="G450" t="s">
        <v>59</v>
      </c>
      <c r="H450" t="s">
        <v>40</v>
      </c>
      <c r="I450">
        <v>0</v>
      </c>
      <c r="J450">
        <v>14702</v>
      </c>
      <c r="K450">
        <v>0</v>
      </c>
      <c r="L450">
        <v>0</v>
      </c>
      <c r="M450">
        <v>0</v>
      </c>
      <c r="N450">
        <v>878</v>
      </c>
      <c r="O450">
        <v>40</v>
      </c>
      <c r="P450" t="s">
        <v>25</v>
      </c>
      <c r="Q450">
        <v>2337740</v>
      </c>
      <c r="R450" t="s">
        <v>49</v>
      </c>
      <c r="S450" t="s">
        <v>27</v>
      </c>
      <c r="T450" t="s">
        <v>41</v>
      </c>
    </row>
    <row r="451" spans="1:20" x14ac:dyDescent="0.3">
      <c r="A451" t="s">
        <v>733</v>
      </c>
      <c r="B451" s="1">
        <v>45768</v>
      </c>
      <c r="C451" s="1" t="s">
        <v>1324</v>
      </c>
      <c r="D451" t="s">
        <v>606</v>
      </c>
      <c r="E451" t="s">
        <v>77</v>
      </c>
      <c r="F451" t="s">
        <v>64</v>
      </c>
      <c r="G451" t="s">
        <v>23</v>
      </c>
      <c r="H451" t="s">
        <v>24</v>
      </c>
      <c r="I451">
        <v>0</v>
      </c>
      <c r="J451">
        <v>0</v>
      </c>
      <c r="K451">
        <v>0</v>
      </c>
      <c r="L451">
        <v>0</v>
      </c>
      <c r="M451">
        <v>3810.99</v>
      </c>
      <c r="N451">
        <v>306</v>
      </c>
      <c r="O451">
        <v>62</v>
      </c>
      <c r="P451" t="s">
        <v>32</v>
      </c>
      <c r="Q451">
        <v>2229709</v>
      </c>
      <c r="R451" t="s">
        <v>49</v>
      </c>
      <c r="S451" t="s">
        <v>27</v>
      </c>
      <c r="T451" t="s">
        <v>41</v>
      </c>
    </row>
    <row r="452" spans="1:20" x14ac:dyDescent="0.3">
      <c r="A452" t="s">
        <v>734</v>
      </c>
      <c r="B452" s="1">
        <v>45813</v>
      </c>
      <c r="C452" s="1" t="s">
        <v>1326</v>
      </c>
      <c r="D452" t="s">
        <v>62</v>
      </c>
      <c r="E452" t="s">
        <v>48</v>
      </c>
      <c r="F452" t="s">
        <v>64</v>
      </c>
      <c r="G452" t="s">
        <v>23</v>
      </c>
      <c r="H452" t="s">
        <v>40</v>
      </c>
      <c r="I452">
        <v>0</v>
      </c>
      <c r="J452">
        <v>55642</v>
      </c>
      <c r="K452">
        <v>0</v>
      </c>
      <c r="L452">
        <v>0</v>
      </c>
      <c r="M452">
        <v>0</v>
      </c>
      <c r="N452">
        <v>839</v>
      </c>
      <c r="O452">
        <v>56</v>
      </c>
      <c r="P452" t="s">
        <v>25</v>
      </c>
      <c r="Q452">
        <v>1726416</v>
      </c>
      <c r="R452" t="s">
        <v>49</v>
      </c>
      <c r="S452" t="s">
        <v>27</v>
      </c>
      <c r="T452" t="s">
        <v>60</v>
      </c>
    </row>
    <row r="453" spans="1:20" x14ac:dyDescent="0.3">
      <c r="A453" t="s">
        <v>735</v>
      </c>
      <c r="B453" s="1">
        <v>45808</v>
      </c>
      <c r="C453" s="1" t="s">
        <v>1325</v>
      </c>
      <c r="D453" t="s">
        <v>217</v>
      </c>
      <c r="E453" t="s">
        <v>55</v>
      </c>
      <c r="F453" t="s">
        <v>21</v>
      </c>
      <c r="G453" t="s">
        <v>59</v>
      </c>
      <c r="H453" t="s">
        <v>24</v>
      </c>
      <c r="I453">
        <v>0</v>
      </c>
      <c r="J453">
        <v>0</v>
      </c>
      <c r="K453">
        <v>0</v>
      </c>
      <c r="L453">
        <v>0</v>
      </c>
      <c r="M453">
        <v>645.42999999999995</v>
      </c>
      <c r="N453">
        <v>629</v>
      </c>
      <c r="O453">
        <v>33</v>
      </c>
      <c r="P453" t="s">
        <v>25</v>
      </c>
      <c r="Q453">
        <v>2737775</v>
      </c>
      <c r="R453" t="s">
        <v>49</v>
      </c>
      <c r="S453" t="s">
        <v>27</v>
      </c>
      <c r="T453" t="s">
        <v>60</v>
      </c>
    </row>
    <row r="454" spans="1:20" x14ac:dyDescent="0.3">
      <c r="A454" t="s">
        <v>736</v>
      </c>
      <c r="B454" s="1">
        <v>45700</v>
      </c>
      <c r="C454" s="1" t="s">
        <v>1322</v>
      </c>
      <c r="D454" t="s">
        <v>80</v>
      </c>
      <c r="E454" t="s">
        <v>48</v>
      </c>
      <c r="F454" t="s">
        <v>64</v>
      </c>
      <c r="G454" t="s">
        <v>39</v>
      </c>
      <c r="H454" t="s">
        <v>52</v>
      </c>
      <c r="I454">
        <v>0</v>
      </c>
      <c r="J454">
        <v>0</v>
      </c>
      <c r="K454">
        <v>0</v>
      </c>
      <c r="L454">
        <v>46868</v>
      </c>
      <c r="M454">
        <v>0</v>
      </c>
      <c r="N454">
        <v>528</v>
      </c>
      <c r="O454">
        <v>23</v>
      </c>
      <c r="P454" t="s">
        <v>32</v>
      </c>
      <c r="Q454">
        <v>942325</v>
      </c>
      <c r="R454" t="s">
        <v>26</v>
      </c>
      <c r="S454" t="s">
        <v>71</v>
      </c>
      <c r="T454" t="s">
        <v>34</v>
      </c>
    </row>
    <row r="455" spans="1:20" x14ac:dyDescent="0.3">
      <c r="A455" t="s">
        <v>737</v>
      </c>
      <c r="B455" s="1">
        <v>45677</v>
      </c>
      <c r="C455" s="1" t="s">
        <v>1321</v>
      </c>
      <c r="D455" t="s">
        <v>738</v>
      </c>
      <c r="E455" t="s">
        <v>77</v>
      </c>
      <c r="F455" t="s">
        <v>21</v>
      </c>
      <c r="G455" t="s">
        <v>59</v>
      </c>
      <c r="H455" t="s">
        <v>52</v>
      </c>
      <c r="I455">
        <v>0</v>
      </c>
      <c r="J455">
        <v>0</v>
      </c>
      <c r="K455">
        <v>0</v>
      </c>
      <c r="L455">
        <v>18310</v>
      </c>
      <c r="M455">
        <v>0</v>
      </c>
      <c r="N455">
        <v>713</v>
      </c>
      <c r="O455">
        <v>27</v>
      </c>
      <c r="P455" t="s">
        <v>32</v>
      </c>
      <c r="Q455">
        <v>2307418</v>
      </c>
      <c r="R455" t="s">
        <v>26</v>
      </c>
      <c r="S455" t="s">
        <v>74</v>
      </c>
      <c r="T455" t="s">
        <v>34</v>
      </c>
    </row>
    <row r="456" spans="1:20" x14ac:dyDescent="0.3">
      <c r="A456" t="s">
        <v>739</v>
      </c>
      <c r="B456" s="1">
        <v>45837</v>
      </c>
      <c r="C456" s="1" t="s">
        <v>1326</v>
      </c>
      <c r="D456" t="s">
        <v>740</v>
      </c>
      <c r="E456" t="s">
        <v>55</v>
      </c>
      <c r="F456" t="s">
        <v>38</v>
      </c>
      <c r="G456" t="s">
        <v>59</v>
      </c>
      <c r="H456" t="s">
        <v>40</v>
      </c>
      <c r="I456">
        <v>0</v>
      </c>
      <c r="J456">
        <v>91197</v>
      </c>
      <c r="K456">
        <v>0</v>
      </c>
      <c r="L456">
        <v>0</v>
      </c>
      <c r="M456">
        <v>0</v>
      </c>
      <c r="N456">
        <v>686</v>
      </c>
      <c r="O456">
        <v>22</v>
      </c>
      <c r="P456" t="s">
        <v>32</v>
      </c>
      <c r="Q456">
        <v>676165</v>
      </c>
      <c r="R456" t="s">
        <v>49</v>
      </c>
      <c r="S456" t="s">
        <v>27</v>
      </c>
      <c r="T456" t="s">
        <v>41</v>
      </c>
    </row>
    <row r="457" spans="1:20" x14ac:dyDescent="0.3">
      <c r="A457" t="s">
        <v>741</v>
      </c>
      <c r="B457" s="1">
        <v>45812</v>
      </c>
      <c r="C457" s="1" t="s">
        <v>1326</v>
      </c>
      <c r="D457" t="s">
        <v>564</v>
      </c>
      <c r="E457" t="s">
        <v>63</v>
      </c>
      <c r="F457" t="s">
        <v>22</v>
      </c>
      <c r="G457" t="s">
        <v>68</v>
      </c>
      <c r="H457" t="s">
        <v>24</v>
      </c>
      <c r="I457">
        <v>0</v>
      </c>
      <c r="J457">
        <v>0</v>
      </c>
      <c r="K457">
        <v>0</v>
      </c>
      <c r="L457">
        <v>0</v>
      </c>
      <c r="M457">
        <v>5409.64</v>
      </c>
      <c r="N457">
        <v>735</v>
      </c>
      <c r="O457">
        <v>32</v>
      </c>
      <c r="P457" t="s">
        <v>25</v>
      </c>
      <c r="Q457">
        <v>1350273</v>
      </c>
      <c r="R457" t="s">
        <v>49</v>
      </c>
      <c r="S457" t="s">
        <v>27</v>
      </c>
      <c r="T457" t="s">
        <v>41</v>
      </c>
    </row>
    <row r="458" spans="1:20" x14ac:dyDescent="0.3">
      <c r="A458" t="s">
        <v>742</v>
      </c>
      <c r="B458" s="1">
        <v>45781</v>
      </c>
      <c r="C458" s="1" t="s">
        <v>1325</v>
      </c>
      <c r="D458" t="s">
        <v>223</v>
      </c>
      <c r="E458" t="s">
        <v>21</v>
      </c>
      <c r="F458" t="s">
        <v>22</v>
      </c>
      <c r="G458" t="s">
        <v>23</v>
      </c>
      <c r="H458" t="s">
        <v>24</v>
      </c>
      <c r="I458">
        <v>0</v>
      </c>
      <c r="J458">
        <v>0</v>
      </c>
      <c r="K458">
        <v>0</v>
      </c>
      <c r="L458">
        <v>0</v>
      </c>
      <c r="M458">
        <v>6598.29</v>
      </c>
      <c r="N458">
        <v>865</v>
      </c>
      <c r="O458">
        <v>63</v>
      </c>
      <c r="P458" t="s">
        <v>25</v>
      </c>
      <c r="Q458">
        <v>906639</v>
      </c>
      <c r="R458" t="s">
        <v>26</v>
      </c>
      <c r="S458" t="s">
        <v>27</v>
      </c>
      <c r="T458" t="s">
        <v>28</v>
      </c>
    </row>
    <row r="459" spans="1:20" x14ac:dyDescent="0.3">
      <c r="A459" t="s">
        <v>743</v>
      </c>
      <c r="B459" s="1">
        <v>45667</v>
      </c>
      <c r="C459" s="1" t="s">
        <v>1321</v>
      </c>
      <c r="D459" t="s">
        <v>43</v>
      </c>
      <c r="E459" t="s">
        <v>55</v>
      </c>
      <c r="F459" t="s">
        <v>44</v>
      </c>
      <c r="G459" t="s">
        <v>59</v>
      </c>
      <c r="H459" t="s">
        <v>52</v>
      </c>
      <c r="I459">
        <v>0</v>
      </c>
      <c r="J459">
        <v>0</v>
      </c>
      <c r="K459">
        <v>0</v>
      </c>
      <c r="L459">
        <v>27971</v>
      </c>
      <c r="M459">
        <v>0</v>
      </c>
      <c r="N459">
        <v>547</v>
      </c>
      <c r="O459">
        <v>33</v>
      </c>
      <c r="P459" t="s">
        <v>32</v>
      </c>
      <c r="Q459">
        <v>2866955</v>
      </c>
      <c r="R459" t="s">
        <v>26</v>
      </c>
      <c r="S459" t="s">
        <v>74</v>
      </c>
      <c r="T459" t="s">
        <v>34</v>
      </c>
    </row>
    <row r="460" spans="1:20" x14ac:dyDescent="0.3">
      <c r="A460" t="s">
        <v>744</v>
      </c>
      <c r="B460" s="1">
        <v>45664</v>
      </c>
      <c r="C460" s="1" t="s">
        <v>1321</v>
      </c>
      <c r="D460" t="s">
        <v>700</v>
      </c>
      <c r="E460" t="s">
        <v>37</v>
      </c>
      <c r="F460" t="s">
        <v>38</v>
      </c>
      <c r="G460" t="s">
        <v>39</v>
      </c>
      <c r="H460" t="s">
        <v>56</v>
      </c>
      <c r="I460">
        <v>149891</v>
      </c>
      <c r="J460">
        <v>0</v>
      </c>
      <c r="K460">
        <v>0</v>
      </c>
      <c r="L460">
        <v>0</v>
      </c>
      <c r="M460">
        <v>0</v>
      </c>
      <c r="N460">
        <v>676</v>
      </c>
      <c r="O460">
        <v>40</v>
      </c>
      <c r="P460" t="s">
        <v>25</v>
      </c>
      <c r="Q460">
        <v>348446</v>
      </c>
      <c r="R460" t="s">
        <v>26</v>
      </c>
      <c r="S460" t="s">
        <v>27</v>
      </c>
      <c r="T460" t="s">
        <v>60</v>
      </c>
    </row>
    <row r="461" spans="1:20" x14ac:dyDescent="0.3">
      <c r="A461" t="s">
        <v>745</v>
      </c>
      <c r="B461" s="1">
        <v>45892</v>
      </c>
      <c r="C461" s="1" t="s">
        <v>1328</v>
      </c>
      <c r="D461" t="s">
        <v>643</v>
      </c>
      <c r="E461" t="s">
        <v>48</v>
      </c>
      <c r="F461" t="s">
        <v>21</v>
      </c>
      <c r="G461" t="s">
        <v>39</v>
      </c>
      <c r="H461" t="s">
        <v>56</v>
      </c>
      <c r="I461">
        <v>178808</v>
      </c>
      <c r="J461">
        <v>0</v>
      </c>
      <c r="K461">
        <v>0</v>
      </c>
      <c r="L461">
        <v>0</v>
      </c>
      <c r="M461">
        <v>0</v>
      </c>
      <c r="N461">
        <v>782</v>
      </c>
      <c r="O461">
        <v>21</v>
      </c>
      <c r="P461" t="s">
        <v>25</v>
      </c>
      <c r="Q461">
        <v>866306</v>
      </c>
      <c r="R461" t="s">
        <v>26</v>
      </c>
      <c r="S461" t="s">
        <v>27</v>
      </c>
      <c r="T461" t="s">
        <v>60</v>
      </c>
    </row>
    <row r="462" spans="1:20" x14ac:dyDescent="0.3">
      <c r="A462" t="s">
        <v>746</v>
      </c>
      <c r="B462" s="1">
        <v>45918</v>
      </c>
      <c r="C462" s="1" t="s">
        <v>1329</v>
      </c>
      <c r="D462" t="s">
        <v>200</v>
      </c>
      <c r="E462" t="s">
        <v>63</v>
      </c>
      <c r="F462" t="s">
        <v>22</v>
      </c>
      <c r="G462" t="s">
        <v>68</v>
      </c>
      <c r="H462" t="s">
        <v>52</v>
      </c>
      <c r="I462">
        <v>0</v>
      </c>
      <c r="J462">
        <v>0</v>
      </c>
      <c r="K462">
        <v>0</v>
      </c>
      <c r="L462">
        <v>2988</v>
      </c>
      <c r="M462">
        <v>0</v>
      </c>
      <c r="N462">
        <v>725</v>
      </c>
      <c r="O462">
        <v>36</v>
      </c>
      <c r="P462" t="s">
        <v>25</v>
      </c>
      <c r="Q462">
        <v>1514044</v>
      </c>
      <c r="R462" t="s">
        <v>26</v>
      </c>
      <c r="S462" t="s">
        <v>71</v>
      </c>
      <c r="T462" t="s">
        <v>45</v>
      </c>
    </row>
    <row r="463" spans="1:20" x14ac:dyDescent="0.3">
      <c r="A463" t="s">
        <v>747</v>
      </c>
      <c r="B463" s="1">
        <v>45959</v>
      </c>
      <c r="C463" s="1" t="s">
        <v>1330</v>
      </c>
      <c r="D463" t="s">
        <v>76</v>
      </c>
      <c r="E463" t="s">
        <v>63</v>
      </c>
      <c r="F463" t="s">
        <v>22</v>
      </c>
      <c r="G463" t="s">
        <v>39</v>
      </c>
      <c r="H463" t="s">
        <v>24</v>
      </c>
      <c r="I463">
        <v>0</v>
      </c>
      <c r="J463">
        <v>0</v>
      </c>
      <c r="K463">
        <v>0</v>
      </c>
      <c r="L463">
        <v>0</v>
      </c>
      <c r="M463">
        <v>2446.7600000000002</v>
      </c>
      <c r="N463">
        <v>738</v>
      </c>
      <c r="O463">
        <v>30</v>
      </c>
      <c r="P463" t="s">
        <v>32</v>
      </c>
      <c r="Q463">
        <v>1058657</v>
      </c>
      <c r="R463" t="s">
        <v>49</v>
      </c>
      <c r="S463" t="s">
        <v>27</v>
      </c>
      <c r="T463" t="s">
        <v>60</v>
      </c>
    </row>
    <row r="464" spans="1:20" x14ac:dyDescent="0.3">
      <c r="A464" t="s">
        <v>748</v>
      </c>
      <c r="B464" s="1">
        <v>45973</v>
      </c>
      <c r="C464" s="1" t="s">
        <v>1331</v>
      </c>
      <c r="D464" t="s">
        <v>680</v>
      </c>
      <c r="E464" t="s">
        <v>37</v>
      </c>
      <c r="F464" t="s">
        <v>44</v>
      </c>
      <c r="G464" t="s">
        <v>39</v>
      </c>
      <c r="H464" t="s">
        <v>56</v>
      </c>
      <c r="I464">
        <v>98874</v>
      </c>
      <c r="J464">
        <v>0</v>
      </c>
      <c r="K464">
        <v>0</v>
      </c>
      <c r="L464">
        <v>0</v>
      </c>
      <c r="M464">
        <v>0</v>
      </c>
      <c r="N464">
        <v>308</v>
      </c>
      <c r="O464">
        <v>21</v>
      </c>
      <c r="P464" t="s">
        <v>32</v>
      </c>
      <c r="Q464">
        <v>1891971</v>
      </c>
      <c r="R464" t="s">
        <v>49</v>
      </c>
      <c r="S464" t="s">
        <v>27</v>
      </c>
      <c r="T464" t="s">
        <v>34</v>
      </c>
    </row>
    <row r="465" spans="1:20" x14ac:dyDescent="0.3">
      <c r="A465" t="s">
        <v>749</v>
      </c>
      <c r="B465" s="1">
        <v>45931</v>
      </c>
      <c r="C465" s="1" t="s">
        <v>1330</v>
      </c>
      <c r="D465" t="s">
        <v>76</v>
      </c>
      <c r="E465" t="s">
        <v>48</v>
      </c>
      <c r="F465" t="s">
        <v>38</v>
      </c>
      <c r="G465" t="s">
        <v>59</v>
      </c>
      <c r="H465" t="s">
        <v>52</v>
      </c>
      <c r="I465">
        <v>0</v>
      </c>
      <c r="J465">
        <v>0</v>
      </c>
      <c r="K465">
        <v>0</v>
      </c>
      <c r="L465">
        <v>39028</v>
      </c>
      <c r="M465">
        <v>0</v>
      </c>
      <c r="N465">
        <v>831</v>
      </c>
      <c r="O465">
        <v>67</v>
      </c>
      <c r="P465" t="s">
        <v>32</v>
      </c>
      <c r="Q465">
        <v>2830591</v>
      </c>
      <c r="R465" t="s">
        <v>49</v>
      </c>
      <c r="S465" t="s">
        <v>71</v>
      </c>
      <c r="T465" t="s">
        <v>28</v>
      </c>
    </row>
    <row r="466" spans="1:20" x14ac:dyDescent="0.3">
      <c r="A466" t="s">
        <v>750</v>
      </c>
      <c r="B466" s="1">
        <v>45966</v>
      </c>
      <c r="C466" s="1" t="s">
        <v>1331</v>
      </c>
      <c r="D466" t="s">
        <v>58</v>
      </c>
      <c r="E466" t="s">
        <v>21</v>
      </c>
      <c r="F466" t="s">
        <v>64</v>
      </c>
      <c r="G466" t="s">
        <v>59</v>
      </c>
      <c r="H466" t="s">
        <v>40</v>
      </c>
      <c r="I466">
        <v>0</v>
      </c>
      <c r="J466">
        <v>7480</v>
      </c>
      <c r="K466">
        <v>0</v>
      </c>
      <c r="L466">
        <v>0</v>
      </c>
      <c r="M466">
        <v>0</v>
      </c>
      <c r="N466">
        <v>418</v>
      </c>
      <c r="O466">
        <v>43</v>
      </c>
      <c r="P466" t="s">
        <v>25</v>
      </c>
      <c r="Q466">
        <v>584934</v>
      </c>
      <c r="R466" t="s">
        <v>26</v>
      </c>
      <c r="S466" t="s">
        <v>27</v>
      </c>
      <c r="T466" t="s">
        <v>45</v>
      </c>
    </row>
    <row r="467" spans="1:20" x14ac:dyDescent="0.3">
      <c r="A467" t="s">
        <v>751</v>
      </c>
      <c r="B467" s="1">
        <v>45953</v>
      </c>
      <c r="C467" s="1" t="s">
        <v>1330</v>
      </c>
      <c r="D467" t="s">
        <v>279</v>
      </c>
      <c r="E467" t="s">
        <v>77</v>
      </c>
      <c r="F467" t="s">
        <v>64</v>
      </c>
      <c r="G467" t="s">
        <v>23</v>
      </c>
      <c r="H467" t="s">
        <v>56</v>
      </c>
      <c r="I467">
        <v>97558</v>
      </c>
      <c r="J467">
        <v>0</v>
      </c>
      <c r="K467">
        <v>0</v>
      </c>
      <c r="L467">
        <v>0</v>
      </c>
      <c r="M467">
        <v>0</v>
      </c>
      <c r="N467">
        <v>722</v>
      </c>
      <c r="O467">
        <v>20</v>
      </c>
      <c r="P467" t="s">
        <v>25</v>
      </c>
      <c r="Q467">
        <v>2818119</v>
      </c>
      <c r="R467" t="s">
        <v>26</v>
      </c>
      <c r="S467" t="s">
        <v>27</v>
      </c>
      <c r="T467" t="s">
        <v>45</v>
      </c>
    </row>
    <row r="468" spans="1:20" x14ac:dyDescent="0.3">
      <c r="A468" t="s">
        <v>752</v>
      </c>
      <c r="B468" s="1">
        <v>45788</v>
      </c>
      <c r="C468" s="1" t="s">
        <v>1325</v>
      </c>
      <c r="D468" t="s">
        <v>553</v>
      </c>
      <c r="E468" t="s">
        <v>55</v>
      </c>
      <c r="F468" t="s">
        <v>38</v>
      </c>
      <c r="G468" t="s">
        <v>59</v>
      </c>
      <c r="H468" t="s">
        <v>56</v>
      </c>
      <c r="I468">
        <v>89210</v>
      </c>
      <c r="J468">
        <v>0</v>
      </c>
      <c r="K468">
        <v>0</v>
      </c>
      <c r="L468">
        <v>0</v>
      </c>
      <c r="M468">
        <v>0</v>
      </c>
      <c r="N468">
        <v>687</v>
      </c>
      <c r="O468">
        <v>34</v>
      </c>
      <c r="P468" t="s">
        <v>25</v>
      </c>
      <c r="Q468">
        <v>1566870</v>
      </c>
      <c r="R468" t="s">
        <v>49</v>
      </c>
      <c r="S468" t="s">
        <v>27</v>
      </c>
      <c r="T468" t="s">
        <v>60</v>
      </c>
    </row>
    <row r="469" spans="1:20" x14ac:dyDescent="0.3">
      <c r="A469" t="s">
        <v>753</v>
      </c>
      <c r="B469" s="1">
        <v>45992</v>
      </c>
      <c r="C469" s="1" t="s">
        <v>1332</v>
      </c>
      <c r="D469" t="s">
        <v>754</v>
      </c>
      <c r="E469" t="s">
        <v>77</v>
      </c>
      <c r="F469" t="s">
        <v>21</v>
      </c>
      <c r="G469" t="s">
        <v>59</v>
      </c>
      <c r="H469" t="s">
        <v>31</v>
      </c>
      <c r="I469">
        <v>0</v>
      </c>
      <c r="J469">
        <v>0</v>
      </c>
      <c r="K469">
        <v>1129570</v>
      </c>
      <c r="L469">
        <v>0</v>
      </c>
      <c r="M469">
        <v>0</v>
      </c>
      <c r="N469">
        <v>518</v>
      </c>
      <c r="O469">
        <v>40</v>
      </c>
      <c r="P469" t="s">
        <v>32</v>
      </c>
      <c r="Q469">
        <v>2127845</v>
      </c>
      <c r="R469" t="s">
        <v>26</v>
      </c>
      <c r="S469" t="s">
        <v>65</v>
      </c>
      <c r="T469" t="s">
        <v>45</v>
      </c>
    </row>
    <row r="470" spans="1:20" x14ac:dyDescent="0.3">
      <c r="A470" t="s">
        <v>755</v>
      </c>
      <c r="B470" s="1">
        <v>46005</v>
      </c>
      <c r="C470" s="1" t="s">
        <v>1332</v>
      </c>
      <c r="D470" t="s">
        <v>362</v>
      </c>
      <c r="E470" t="s">
        <v>21</v>
      </c>
      <c r="F470" t="s">
        <v>21</v>
      </c>
      <c r="G470" t="s">
        <v>59</v>
      </c>
      <c r="H470" t="s">
        <v>56</v>
      </c>
      <c r="I470">
        <v>117691</v>
      </c>
      <c r="J470">
        <v>0</v>
      </c>
      <c r="K470">
        <v>0</v>
      </c>
      <c r="L470">
        <v>0</v>
      </c>
      <c r="M470">
        <v>0</v>
      </c>
      <c r="N470">
        <v>595</v>
      </c>
      <c r="O470">
        <v>22</v>
      </c>
      <c r="P470" t="s">
        <v>25</v>
      </c>
      <c r="Q470">
        <v>1478122</v>
      </c>
      <c r="R470" t="s">
        <v>49</v>
      </c>
      <c r="S470" t="s">
        <v>27</v>
      </c>
      <c r="T470" t="s">
        <v>41</v>
      </c>
    </row>
    <row r="471" spans="1:20" x14ac:dyDescent="0.3">
      <c r="A471" t="s">
        <v>756</v>
      </c>
      <c r="B471" s="1">
        <v>45779</v>
      </c>
      <c r="C471" s="1" t="s">
        <v>1325</v>
      </c>
      <c r="D471" t="s">
        <v>51</v>
      </c>
      <c r="E471" t="s">
        <v>55</v>
      </c>
      <c r="F471" t="s">
        <v>64</v>
      </c>
      <c r="G471" t="s">
        <v>59</v>
      </c>
      <c r="H471" t="s">
        <v>31</v>
      </c>
      <c r="I471">
        <v>0</v>
      </c>
      <c r="J471">
        <v>0</v>
      </c>
      <c r="K471">
        <v>513010</v>
      </c>
      <c r="L471">
        <v>0</v>
      </c>
      <c r="M471">
        <v>0</v>
      </c>
      <c r="N471">
        <v>586</v>
      </c>
      <c r="O471">
        <v>22</v>
      </c>
      <c r="P471" t="s">
        <v>32</v>
      </c>
      <c r="Q471">
        <v>1511822</v>
      </c>
      <c r="R471" t="s">
        <v>49</v>
      </c>
      <c r="S471" t="s">
        <v>65</v>
      </c>
      <c r="T471" t="s">
        <v>41</v>
      </c>
    </row>
    <row r="472" spans="1:20" x14ac:dyDescent="0.3">
      <c r="A472" t="s">
        <v>757</v>
      </c>
      <c r="B472" s="1">
        <v>45933</v>
      </c>
      <c r="C472" s="1" t="s">
        <v>1330</v>
      </c>
      <c r="D472" t="s">
        <v>47</v>
      </c>
      <c r="E472" t="s">
        <v>21</v>
      </c>
      <c r="F472" t="s">
        <v>38</v>
      </c>
      <c r="G472" t="s">
        <v>59</v>
      </c>
      <c r="H472" t="s">
        <v>40</v>
      </c>
      <c r="I472">
        <v>0</v>
      </c>
      <c r="J472">
        <v>83887</v>
      </c>
      <c r="K472">
        <v>0</v>
      </c>
      <c r="L472">
        <v>0</v>
      </c>
      <c r="M472">
        <v>0</v>
      </c>
      <c r="N472">
        <v>694</v>
      </c>
      <c r="O472">
        <v>64</v>
      </c>
      <c r="P472" t="s">
        <v>32</v>
      </c>
      <c r="Q472">
        <v>1367091</v>
      </c>
      <c r="R472" t="s">
        <v>49</v>
      </c>
      <c r="S472" t="s">
        <v>27</v>
      </c>
      <c r="T472" t="s">
        <v>28</v>
      </c>
    </row>
    <row r="473" spans="1:20" x14ac:dyDescent="0.3">
      <c r="A473" t="s">
        <v>758</v>
      </c>
      <c r="B473" s="1">
        <v>46016</v>
      </c>
      <c r="C473" s="1" t="s">
        <v>1332</v>
      </c>
      <c r="D473" t="s">
        <v>283</v>
      </c>
      <c r="E473" t="s">
        <v>63</v>
      </c>
      <c r="F473" t="s">
        <v>44</v>
      </c>
      <c r="G473" t="s">
        <v>23</v>
      </c>
      <c r="H473" t="s">
        <v>40</v>
      </c>
      <c r="I473">
        <v>0</v>
      </c>
      <c r="J473">
        <v>59461</v>
      </c>
      <c r="K473">
        <v>0</v>
      </c>
      <c r="L473">
        <v>0</v>
      </c>
      <c r="M473">
        <v>0</v>
      </c>
      <c r="N473">
        <v>460</v>
      </c>
      <c r="O473">
        <v>40</v>
      </c>
      <c r="P473" t="s">
        <v>32</v>
      </c>
      <c r="Q473">
        <v>2612268</v>
      </c>
      <c r="R473" t="s">
        <v>26</v>
      </c>
      <c r="S473" t="s">
        <v>27</v>
      </c>
      <c r="T473" t="s">
        <v>60</v>
      </c>
    </row>
    <row r="474" spans="1:20" x14ac:dyDescent="0.3">
      <c r="A474" t="s">
        <v>759</v>
      </c>
      <c r="B474" s="1">
        <v>45790</v>
      </c>
      <c r="C474" s="1" t="s">
        <v>1325</v>
      </c>
      <c r="D474" t="s">
        <v>760</v>
      </c>
      <c r="E474" t="s">
        <v>55</v>
      </c>
      <c r="F474" t="s">
        <v>21</v>
      </c>
      <c r="G474" t="s">
        <v>68</v>
      </c>
      <c r="H474" t="s">
        <v>24</v>
      </c>
      <c r="I474">
        <v>0</v>
      </c>
      <c r="J474">
        <v>0</v>
      </c>
      <c r="K474">
        <v>0</v>
      </c>
      <c r="L474">
        <v>0</v>
      </c>
      <c r="M474">
        <v>2423.91</v>
      </c>
      <c r="N474">
        <v>729</v>
      </c>
      <c r="O474">
        <v>49</v>
      </c>
      <c r="P474" t="s">
        <v>32</v>
      </c>
      <c r="Q474">
        <v>2270935</v>
      </c>
      <c r="R474" t="s">
        <v>26</v>
      </c>
      <c r="S474" t="s">
        <v>27</v>
      </c>
      <c r="T474" t="s">
        <v>41</v>
      </c>
    </row>
    <row r="475" spans="1:20" x14ac:dyDescent="0.3">
      <c r="A475" t="s">
        <v>761</v>
      </c>
      <c r="B475" s="1">
        <v>45918</v>
      </c>
      <c r="C475" s="1" t="s">
        <v>1329</v>
      </c>
      <c r="D475" t="s">
        <v>762</v>
      </c>
      <c r="E475" t="s">
        <v>77</v>
      </c>
      <c r="F475" t="s">
        <v>64</v>
      </c>
      <c r="G475" t="s">
        <v>23</v>
      </c>
      <c r="H475" t="s">
        <v>24</v>
      </c>
      <c r="I475">
        <v>0</v>
      </c>
      <c r="J475">
        <v>0</v>
      </c>
      <c r="K475">
        <v>0</v>
      </c>
      <c r="L475">
        <v>0</v>
      </c>
      <c r="M475">
        <v>4834.87</v>
      </c>
      <c r="N475">
        <v>640</v>
      </c>
      <c r="O475">
        <v>57</v>
      </c>
      <c r="P475" t="s">
        <v>32</v>
      </c>
      <c r="Q475">
        <v>1657283</v>
      </c>
      <c r="R475" t="s">
        <v>26</v>
      </c>
      <c r="S475" t="s">
        <v>27</v>
      </c>
      <c r="T475" t="s">
        <v>41</v>
      </c>
    </row>
    <row r="476" spans="1:20" x14ac:dyDescent="0.3">
      <c r="A476" t="s">
        <v>763</v>
      </c>
      <c r="B476" s="1">
        <v>45751</v>
      </c>
      <c r="C476" s="1" t="s">
        <v>1324</v>
      </c>
      <c r="D476" t="s">
        <v>278</v>
      </c>
      <c r="E476" t="s">
        <v>63</v>
      </c>
      <c r="F476" t="s">
        <v>64</v>
      </c>
      <c r="G476" t="s">
        <v>68</v>
      </c>
      <c r="H476" t="s">
        <v>24</v>
      </c>
      <c r="I476">
        <v>0</v>
      </c>
      <c r="J476">
        <v>0</v>
      </c>
      <c r="K476">
        <v>0</v>
      </c>
      <c r="L476">
        <v>0</v>
      </c>
      <c r="M476">
        <v>9872.17</v>
      </c>
      <c r="N476">
        <v>757</v>
      </c>
      <c r="O476">
        <v>44</v>
      </c>
      <c r="P476" t="s">
        <v>32</v>
      </c>
      <c r="Q476">
        <v>1849547</v>
      </c>
      <c r="R476" t="s">
        <v>49</v>
      </c>
      <c r="S476" t="s">
        <v>27</v>
      </c>
      <c r="T476" t="s">
        <v>41</v>
      </c>
    </row>
    <row r="477" spans="1:20" x14ac:dyDescent="0.3">
      <c r="A477" t="s">
        <v>764</v>
      </c>
      <c r="B477" s="1">
        <v>45674</v>
      </c>
      <c r="C477" s="1" t="s">
        <v>1321</v>
      </c>
      <c r="D477" t="s">
        <v>568</v>
      </c>
      <c r="E477" t="s">
        <v>21</v>
      </c>
      <c r="F477" t="s">
        <v>64</v>
      </c>
      <c r="G477" t="s">
        <v>39</v>
      </c>
      <c r="H477" t="s">
        <v>31</v>
      </c>
      <c r="I477">
        <v>0</v>
      </c>
      <c r="J477">
        <v>0</v>
      </c>
      <c r="K477">
        <v>1969180</v>
      </c>
      <c r="L477">
        <v>0</v>
      </c>
      <c r="M477">
        <v>0</v>
      </c>
      <c r="N477">
        <v>389</v>
      </c>
      <c r="O477">
        <v>64</v>
      </c>
      <c r="P477" t="s">
        <v>25</v>
      </c>
      <c r="Q477">
        <v>1486317</v>
      </c>
      <c r="R477" t="s">
        <v>26</v>
      </c>
      <c r="S477" t="s">
        <v>33</v>
      </c>
      <c r="T477" t="s">
        <v>60</v>
      </c>
    </row>
    <row r="478" spans="1:20" x14ac:dyDescent="0.3">
      <c r="A478" t="s">
        <v>765</v>
      </c>
      <c r="B478" s="1">
        <v>45761</v>
      </c>
      <c r="C478" s="1" t="s">
        <v>1324</v>
      </c>
      <c r="D478" t="s">
        <v>740</v>
      </c>
      <c r="E478" t="s">
        <v>48</v>
      </c>
      <c r="F478" t="s">
        <v>64</v>
      </c>
      <c r="G478" t="s">
        <v>59</v>
      </c>
      <c r="H478" t="s">
        <v>24</v>
      </c>
      <c r="I478">
        <v>0</v>
      </c>
      <c r="J478">
        <v>0</v>
      </c>
      <c r="K478">
        <v>0</v>
      </c>
      <c r="L478">
        <v>0</v>
      </c>
      <c r="M478">
        <v>5711.98</v>
      </c>
      <c r="N478">
        <v>611</v>
      </c>
      <c r="O478">
        <v>29</v>
      </c>
      <c r="P478" t="s">
        <v>25</v>
      </c>
      <c r="Q478">
        <v>482425</v>
      </c>
      <c r="R478" t="s">
        <v>26</v>
      </c>
      <c r="S478" t="s">
        <v>27</v>
      </c>
      <c r="T478" t="s">
        <v>34</v>
      </c>
    </row>
    <row r="479" spans="1:20" x14ac:dyDescent="0.3">
      <c r="A479" t="s">
        <v>766</v>
      </c>
      <c r="B479" s="1">
        <v>45933</v>
      </c>
      <c r="C479" s="1" t="s">
        <v>1330</v>
      </c>
      <c r="D479" t="s">
        <v>256</v>
      </c>
      <c r="E479" t="s">
        <v>48</v>
      </c>
      <c r="F479" t="s">
        <v>64</v>
      </c>
      <c r="G479" t="s">
        <v>59</v>
      </c>
      <c r="H479" t="s">
        <v>56</v>
      </c>
      <c r="I479">
        <v>64548</v>
      </c>
      <c r="J479">
        <v>0</v>
      </c>
      <c r="K479">
        <v>0</v>
      </c>
      <c r="L479">
        <v>0</v>
      </c>
      <c r="M479">
        <v>0</v>
      </c>
      <c r="N479">
        <v>349</v>
      </c>
      <c r="O479">
        <v>34</v>
      </c>
      <c r="P479" t="s">
        <v>25</v>
      </c>
      <c r="Q479">
        <v>1478038</v>
      </c>
      <c r="R479" t="s">
        <v>26</v>
      </c>
      <c r="S479" t="s">
        <v>27</v>
      </c>
      <c r="T479" t="s">
        <v>41</v>
      </c>
    </row>
    <row r="480" spans="1:20" x14ac:dyDescent="0.3">
      <c r="A480" t="s">
        <v>767</v>
      </c>
      <c r="B480" s="1">
        <v>45733</v>
      </c>
      <c r="C480" s="1" t="s">
        <v>1323</v>
      </c>
      <c r="D480" t="s">
        <v>620</v>
      </c>
      <c r="E480" t="s">
        <v>37</v>
      </c>
      <c r="F480" t="s">
        <v>22</v>
      </c>
      <c r="G480" t="s">
        <v>59</v>
      </c>
      <c r="H480" t="s">
        <v>56</v>
      </c>
      <c r="I480">
        <v>5915</v>
      </c>
      <c r="J480">
        <v>0</v>
      </c>
      <c r="K480">
        <v>0</v>
      </c>
      <c r="L480">
        <v>0</v>
      </c>
      <c r="M480">
        <v>0</v>
      </c>
      <c r="N480">
        <v>307</v>
      </c>
      <c r="O480">
        <v>24</v>
      </c>
      <c r="P480" t="s">
        <v>25</v>
      </c>
      <c r="Q480">
        <v>2730347</v>
      </c>
      <c r="R480" t="s">
        <v>26</v>
      </c>
      <c r="S480" t="s">
        <v>27</v>
      </c>
      <c r="T480" t="s">
        <v>28</v>
      </c>
    </row>
    <row r="481" spans="1:20" x14ac:dyDescent="0.3">
      <c r="A481" t="s">
        <v>768</v>
      </c>
      <c r="B481" s="1">
        <v>45729</v>
      </c>
      <c r="C481" s="1" t="s">
        <v>1323</v>
      </c>
      <c r="D481" t="s">
        <v>434</v>
      </c>
      <c r="E481" t="s">
        <v>55</v>
      </c>
      <c r="F481" t="s">
        <v>22</v>
      </c>
      <c r="G481" t="s">
        <v>23</v>
      </c>
      <c r="H481" t="s">
        <v>40</v>
      </c>
      <c r="I481">
        <v>0</v>
      </c>
      <c r="J481">
        <v>73751</v>
      </c>
      <c r="K481">
        <v>0</v>
      </c>
      <c r="L481">
        <v>0</v>
      </c>
      <c r="M481">
        <v>0</v>
      </c>
      <c r="N481">
        <v>790</v>
      </c>
      <c r="O481">
        <v>69</v>
      </c>
      <c r="P481" t="s">
        <v>25</v>
      </c>
      <c r="Q481">
        <v>786682</v>
      </c>
      <c r="R481" t="s">
        <v>26</v>
      </c>
      <c r="S481" t="s">
        <v>27</v>
      </c>
      <c r="T481" t="s">
        <v>41</v>
      </c>
    </row>
    <row r="482" spans="1:20" x14ac:dyDescent="0.3">
      <c r="A482" t="s">
        <v>769</v>
      </c>
      <c r="B482" s="1">
        <v>45914</v>
      </c>
      <c r="C482" s="1" t="s">
        <v>1329</v>
      </c>
      <c r="D482" t="s">
        <v>443</v>
      </c>
      <c r="E482" t="s">
        <v>63</v>
      </c>
      <c r="F482" t="s">
        <v>22</v>
      </c>
      <c r="G482" t="s">
        <v>39</v>
      </c>
      <c r="H482" t="s">
        <v>24</v>
      </c>
      <c r="I482">
        <v>0</v>
      </c>
      <c r="J482">
        <v>0</v>
      </c>
      <c r="K482">
        <v>0</v>
      </c>
      <c r="L482">
        <v>0</v>
      </c>
      <c r="M482">
        <v>4198.96</v>
      </c>
      <c r="N482">
        <v>897</v>
      </c>
      <c r="O482">
        <v>49</v>
      </c>
      <c r="P482" t="s">
        <v>25</v>
      </c>
      <c r="Q482">
        <v>1501771</v>
      </c>
      <c r="R482" t="s">
        <v>26</v>
      </c>
      <c r="S482" t="s">
        <v>27</v>
      </c>
      <c r="T482" t="s">
        <v>34</v>
      </c>
    </row>
    <row r="483" spans="1:20" x14ac:dyDescent="0.3">
      <c r="A483" t="s">
        <v>770</v>
      </c>
      <c r="B483" s="1">
        <v>45854</v>
      </c>
      <c r="C483" s="1" t="s">
        <v>1327</v>
      </c>
      <c r="D483" t="s">
        <v>545</v>
      </c>
      <c r="E483" t="s">
        <v>21</v>
      </c>
      <c r="F483" t="s">
        <v>21</v>
      </c>
      <c r="G483" t="s">
        <v>68</v>
      </c>
      <c r="H483" t="s">
        <v>31</v>
      </c>
      <c r="I483">
        <v>0</v>
      </c>
      <c r="J483">
        <v>0</v>
      </c>
      <c r="K483">
        <v>1183181</v>
      </c>
      <c r="L483">
        <v>0</v>
      </c>
      <c r="M483">
        <v>0</v>
      </c>
      <c r="N483">
        <f>MEDIAN(314,875)</f>
        <v>594.5</v>
      </c>
      <c r="O483">
        <v>18</v>
      </c>
      <c r="P483" t="s">
        <v>25</v>
      </c>
      <c r="Q483">
        <v>2182722</v>
      </c>
      <c r="R483" t="s">
        <v>49</v>
      </c>
      <c r="S483" t="s">
        <v>65</v>
      </c>
      <c r="T483" t="s">
        <v>45</v>
      </c>
    </row>
    <row r="484" spans="1:20" x14ac:dyDescent="0.3">
      <c r="A484" t="s">
        <v>771</v>
      </c>
      <c r="B484" s="1">
        <v>45734</v>
      </c>
      <c r="C484" s="1" t="s">
        <v>1323</v>
      </c>
      <c r="D484" t="s">
        <v>342</v>
      </c>
      <c r="E484" t="s">
        <v>21</v>
      </c>
      <c r="F484" t="s">
        <v>64</v>
      </c>
      <c r="G484" t="s">
        <v>59</v>
      </c>
      <c r="H484" t="s">
        <v>24</v>
      </c>
      <c r="I484">
        <v>0</v>
      </c>
      <c r="J484">
        <v>0</v>
      </c>
      <c r="K484">
        <v>0</v>
      </c>
      <c r="L484">
        <v>0</v>
      </c>
      <c r="M484">
        <v>4147.67</v>
      </c>
      <c r="N484">
        <v>888</v>
      </c>
      <c r="O484">
        <v>50</v>
      </c>
      <c r="P484" t="s">
        <v>32</v>
      </c>
      <c r="Q484">
        <v>2281608</v>
      </c>
      <c r="R484" t="s">
        <v>49</v>
      </c>
      <c r="S484" t="s">
        <v>27</v>
      </c>
      <c r="T484" t="s">
        <v>41</v>
      </c>
    </row>
    <row r="485" spans="1:20" x14ac:dyDescent="0.3">
      <c r="A485" t="s">
        <v>772</v>
      </c>
      <c r="B485" s="1">
        <v>45704</v>
      </c>
      <c r="C485" s="1" t="s">
        <v>1322</v>
      </c>
      <c r="D485" t="s">
        <v>601</v>
      </c>
      <c r="E485" t="s">
        <v>48</v>
      </c>
      <c r="F485" t="s">
        <v>38</v>
      </c>
      <c r="G485" t="s">
        <v>68</v>
      </c>
      <c r="H485" t="s">
        <v>24</v>
      </c>
      <c r="I485">
        <v>0</v>
      </c>
      <c r="J485">
        <v>0</v>
      </c>
      <c r="K485">
        <v>0</v>
      </c>
      <c r="L485">
        <v>0</v>
      </c>
      <c r="M485">
        <v>2613.0700000000002</v>
      </c>
      <c r="N485">
        <v>649</v>
      </c>
      <c r="O485">
        <v>58</v>
      </c>
      <c r="P485" t="s">
        <v>32</v>
      </c>
      <c r="Q485">
        <v>2008746</v>
      </c>
      <c r="R485" t="s">
        <v>49</v>
      </c>
      <c r="S485" t="s">
        <v>27</v>
      </c>
      <c r="T485" t="s">
        <v>41</v>
      </c>
    </row>
    <row r="486" spans="1:20" x14ac:dyDescent="0.3">
      <c r="A486" t="s">
        <v>773</v>
      </c>
      <c r="B486" s="1">
        <v>45773</v>
      </c>
      <c r="C486" s="1" t="s">
        <v>1324</v>
      </c>
      <c r="D486" t="s">
        <v>43</v>
      </c>
      <c r="E486" t="s">
        <v>77</v>
      </c>
      <c r="F486" t="s">
        <v>44</v>
      </c>
      <c r="G486" t="s">
        <v>23</v>
      </c>
      <c r="H486" t="s">
        <v>31</v>
      </c>
      <c r="I486">
        <v>0</v>
      </c>
      <c r="J486">
        <v>0</v>
      </c>
      <c r="K486">
        <v>610436</v>
      </c>
      <c r="L486">
        <v>0</v>
      </c>
      <c r="M486">
        <v>0</v>
      </c>
      <c r="N486">
        <v>693</v>
      </c>
      <c r="O486">
        <v>53</v>
      </c>
      <c r="P486" t="s">
        <v>32</v>
      </c>
      <c r="Q486">
        <v>706433</v>
      </c>
      <c r="R486" t="s">
        <v>49</v>
      </c>
      <c r="S486" t="s">
        <v>33</v>
      </c>
      <c r="T486" t="s">
        <v>45</v>
      </c>
    </row>
    <row r="487" spans="1:20" x14ac:dyDescent="0.3">
      <c r="A487" t="s">
        <v>774</v>
      </c>
      <c r="B487" s="1">
        <v>45860</v>
      </c>
      <c r="C487" s="1" t="s">
        <v>1327</v>
      </c>
      <c r="D487" t="s">
        <v>533</v>
      </c>
      <c r="E487" t="s">
        <v>21</v>
      </c>
      <c r="F487" t="s">
        <v>21</v>
      </c>
      <c r="G487" t="s">
        <v>39</v>
      </c>
      <c r="H487" t="s">
        <v>24</v>
      </c>
      <c r="I487">
        <v>0</v>
      </c>
      <c r="J487">
        <v>0</v>
      </c>
      <c r="K487">
        <v>0</v>
      </c>
      <c r="L487">
        <v>0</v>
      </c>
      <c r="M487">
        <v>5494.83</v>
      </c>
      <c r="N487">
        <v>848</v>
      </c>
      <c r="O487">
        <v>56</v>
      </c>
      <c r="P487" t="s">
        <v>25</v>
      </c>
      <c r="Q487">
        <v>2279465</v>
      </c>
      <c r="R487" t="s">
        <v>26</v>
      </c>
      <c r="S487" t="s">
        <v>27</v>
      </c>
      <c r="T487" t="s">
        <v>41</v>
      </c>
    </row>
    <row r="488" spans="1:20" x14ac:dyDescent="0.3">
      <c r="A488" t="s">
        <v>775</v>
      </c>
      <c r="B488" s="1">
        <v>45779</v>
      </c>
      <c r="C488" s="1" t="s">
        <v>1325</v>
      </c>
      <c r="D488" t="s">
        <v>132</v>
      </c>
      <c r="E488" t="s">
        <v>77</v>
      </c>
      <c r="F488" t="s">
        <v>21</v>
      </c>
      <c r="G488" t="s">
        <v>59</v>
      </c>
      <c r="H488" t="s">
        <v>56</v>
      </c>
      <c r="I488">
        <v>179272</v>
      </c>
      <c r="J488">
        <v>0</v>
      </c>
      <c r="K488">
        <v>0</v>
      </c>
      <c r="L488">
        <v>0</v>
      </c>
      <c r="M488">
        <v>0</v>
      </c>
      <c r="N488">
        <v>855</v>
      </c>
      <c r="O488">
        <v>42</v>
      </c>
      <c r="P488" t="s">
        <v>32</v>
      </c>
      <c r="Q488">
        <v>985976</v>
      </c>
      <c r="R488" t="s">
        <v>26</v>
      </c>
      <c r="S488" t="s">
        <v>27</v>
      </c>
      <c r="T488" t="s">
        <v>28</v>
      </c>
    </row>
    <row r="489" spans="1:20" x14ac:dyDescent="0.3">
      <c r="A489" t="s">
        <v>776</v>
      </c>
      <c r="B489" s="1">
        <v>45737</v>
      </c>
      <c r="C489" s="1" t="s">
        <v>1323</v>
      </c>
      <c r="D489" t="s">
        <v>592</v>
      </c>
      <c r="E489" t="s">
        <v>48</v>
      </c>
      <c r="F489" t="s">
        <v>38</v>
      </c>
      <c r="G489" t="s">
        <v>39</v>
      </c>
      <c r="H489" t="s">
        <v>56</v>
      </c>
      <c r="I489">
        <v>82397</v>
      </c>
      <c r="J489">
        <v>0</v>
      </c>
      <c r="K489">
        <v>0</v>
      </c>
      <c r="L489">
        <v>0</v>
      </c>
      <c r="M489">
        <v>0</v>
      </c>
      <c r="N489">
        <v>597</v>
      </c>
      <c r="O489">
        <v>60</v>
      </c>
      <c r="P489" t="s">
        <v>32</v>
      </c>
      <c r="Q489">
        <v>432837</v>
      </c>
      <c r="R489" t="s">
        <v>26</v>
      </c>
      <c r="S489" t="s">
        <v>27</v>
      </c>
      <c r="T489" t="s">
        <v>34</v>
      </c>
    </row>
    <row r="490" spans="1:20" x14ac:dyDescent="0.3">
      <c r="A490" t="s">
        <v>777</v>
      </c>
      <c r="B490" s="1">
        <v>45850</v>
      </c>
      <c r="C490" s="1" t="s">
        <v>1327</v>
      </c>
      <c r="D490" t="s">
        <v>129</v>
      </c>
      <c r="E490" t="s">
        <v>48</v>
      </c>
      <c r="F490" t="s">
        <v>44</v>
      </c>
      <c r="G490" t="s">
        <v>23</v>
      </c>
      <c r="H490" t="s">
        <v>52</v>
      </c>
      <c r="I490">
        <v>0</v>
      </c>
      <c r="J490">
        <v>0</v>
      </c>
      <c r="K490">
        <v>0</v>
      </c>
      <c r="L490">
        <v>5231</v>
      </c>
      <c r="M490">
        <v>0</v>
      </c>
      <c r="N490">
        <v>817</v>
      </c>
      <c r="O490">
        <v>41</v>
      </c>
      <c r="P490" t="s">
        <v>32</v>
      </c>
      <c r="Q490">
        <v>760150</v>
      </c>
      <c r="R490" t="s">
        <v>49</v>
      </c>
      <c r="S490" t="s">
        <v>71</v>
      </c>
      <c r="T490" t="s">
        <v>34</v>
      </c>
    </row>
    <row r="491" spans="1:20" x14ac:dyDescent="0.3">
      <c r="A491" t="s">
        <v>778</v>
      </c>
      <c r="B491" s="1">
        <v>45796</v>
      </c>
      <c r="C491" s="1" t="s">
        <v>1325</v>
      </c>
      <c r="D491" t="s">
        <v>443</v>
      </c>
      <c r="E491" t="s">
        <v>77</v>
      </c>
      <c r="F491" t="s">
        <v>44</v>
      </c>
      <c r="G491" t="s">
        <v>59</v>
      </c>
      <c r="H491" t="s">
        <v>56</v>
      </c>
      <c r="I491">
        <v>7749</v>
      </c>
      <c r="J491">
        <v>0</v>
      </c>
      <c r="K491">
        <v>0</v>
      </c>
      <c r="L491">
        <v>0</v>
      </c>
      <c r="M491">
        <v>0</v>
      </c>
      <c r="N491">
        <v>553</v>
      </c>
      <c r="O491">
        <v>26</v>
      </c>
      <c r="P491" t="s">
        <v>25</v>
      </c>
      <c r="Q491">
        <v>2653364</v>
      </c>
      <c r="R491" t="s">
        <v>26</v>
      </c>
      <c r="S491" t="s">
        <v>27</v>
      </c>
      <c r="T491" t="s">
        <v>34</v>
      </c>
    </row>
    <row r="492" spans="1:20" x14ac:dyDescent="0.3">
      <c r="A492" t="s">
        <v>779</v>
      </c>
      <c r="B492" s="1">
        <v>45740</v>
      </c>
      <c r="C492" s="1" t="s">
        <v>1323</v>
      </c>
      <c r="D492" t="s">
        <v>564</v>
      </c>
      <c r="E492" t="s">
        <v>63</v>
      </c>
      <c r="F492" t="s">
        <v>38</v>
      </c>
      <c r="G492" t="s">
        <v>68</v>
      </c>
      <c r="H492" t="s">
        <v>52</v>
      </c>
      <c r="I492">
        <v>0</v>
      </c>
      <c r="J492">
        <v>0</v>
      </c>
      <c r="K492">
        <v>0</v>
      </c>
      <c r="L492">
        <v>25588</v>
      </c>
      <c r="M492">
        <v>0</v>
      </c>
      <c r="N492">
        <v>658</v>
      </c>
      <c r="O492">
        <v>32</v>
      </c>
      <c r="P492" t="s">
        <v>32</v>
      </c>
      <c r="Q492">
        <v>2888702</v>
      </c>
      <c r="R492" t="s">
        <v>49</v>
      </c>
      <c r="S492" t="s">
        <v>27</v>
      </c>
      <c r="T492" t="s">
        <v>60</v>
      </c>
    </row>
    <row r="493" spans="1:20" x14ac:dyDescent="0.3">
      <c r="A493" t="s">
        <v>780</v>
      </c>
      <c r="B493" s="1">
        <v>45952</v>
      </c>
      <c r="C493" s="1" t="s">
        <v>1330</v>
      </c>
      <c r="D493" t="s">
        <v>281</v>
      </c>
      <c r="E493" t="s">
        <v>63</v>
      </c>
      <c r="F493" t="s">
        <v>44</v>
      </c>
      <c r="G493" t="s">
        <v>68</v>
      </c>
      <c r="H493" t="s">
        <v>56</v>
      </c>
      <c r="I493">
        <v>112114</v>
      </c>
      <c r="J493">
        <v>0</v>
      </c>
      <c r="K493">
        <v>0</v>
      </c>
      <c r="L493">
        <v>0</v>
      </c>
      <c r="M493">
        <v>0</v>
      </c>
      <c r="N493">
        <v>439</v>
      </c>
      <c r="O493">
        <v>63</v>
      </c>
      <c r="P493" t="s">
        <v>32</v>
      </c>
      <c r="Q493">
        <v>2393058</v>
      </c>
      <c r="R493" t="s">
        <v>26</v>
      </c>
      <c r="S493" t="s">
        <v>27</v>
      </c>
      <c r="T493" t="s">
        <v>28</v>
      </c>
    </row>
    <row r="494" spans="1:20" x14ac:dyDescent="0.3">
      <c r="A494" t="s">
        <v>781</v>
      </c>
      <c r="B494" s="1">
        <v>45844</v>
      </c>
      <c r="C494" s="1" t="s">
        <v>1327</v>
      </c>
      <c r="D494" t="s">
        <v>406</v>
      </c>
      <c r="E494" t="s">
        <v>63</v>
      </c>
      <c r="F494" t="s">
        <v>38</v>
      </c>
      <c r="G494" t="s">
        <v>59</v>
      </c>
      <c r="H494" t="s">
        <v>56</v>
      </c>
      <c r="I494">
        <v>59149</v>
      </c>
      <c r="J494">
        <v>0</v>
      </c>
      <c r="K494">
        <v>0</v>
      </c>
      <c r="L494">
        <v>0</v>
      </c>
      <c r="M494">
        <v>0</v>
      </c>
      <c r="N494">
        <v>397</v>
      </c>
      <c r="O494">
        <v>68</v>
      </c>
      <c r="P494" t="s">
        <v>25</v>
      </c>
      <c r="Q494">
        <v>1781649</v>
      </c>
      <c r="R494" t="s">
        <v>49</v>
      </c>
      <c r="S494" t="s">
        <v>27</v>
      </c>
      <c r="T494" t="s">
        <v>41</v>
      </c>
    </row>
    <row r="495" spans="1:20" x14ac:dyDescent="0.3">
      <c r="A495" t="s">
        <v>782</v>
      </c>
      <c r="B495" s="1">
        <v>46018</v>
      </c>
      <c r="C495" s="1" t="s">
        <v>1332</v>
      </c>
      <c r="D495" t="s">
        <v>198</v>
      </c>
      <c r="E495" t="s">
        <v>77</v>
      </c>
      <c r="F495" t="s">
        <v>64</v>
      </c>
      <c r="G495" t="s">
        <v>39</v>
      </c>
      <c r="H495" t="s">
        <v>31</v>
      </c>
      <c r="I495">
        <v>0</v>
      </c>
      <c r="J495">
        <v>0</v>
      </c>
      <c r="K495">
        <v>1177815</v>
      </c>
      <c r="L495">
        <v>0</v>
      </c>
      <c r="M495">
        <v>0</v>
      </c>
      <c r="N495">
        <v>383</v>
      </c>
      <c r="O495">
        <v>21</v>
      </c>
      <c r="P495" t="s">
        <v>32</v>
      </c>
      <c r="Q495">
        <v>363355</v>
      </c>
      <c r="R495" t="s">
        <v>26</v>
      </c>
      <c r="S495" t="s">
        <v>33</v>
      </c>
      <c r="T495" t="s">
        <v>45</v>
      </c>
    </row>
    <row r="496" spans="1:20" x14ac:dyDescent="0.3">
      <c r="A496" t="s">
        <v>783</v>
      </c>
      <c r="B496" s="1">
        <v>45760</v>
      </c>
      <c r="C496" s="1" t="s">
        <v>1324</v>
      </c>
      <c r="D496" t="s">
        <v>784</v>
      </c>
      <c r="E496" t="s">
        <v>37</v>
      </c>
      <c r="F496" t="s">
        <v>22</v>
      </c>
      <c r="G496" t="s">
        <v>68</v>
      </c>
      <c r="H496" t="s">
        <v>31</v>
      </c>
      <c r="I496">
        <v>0</v>
      </c>
      <c r="J496">
        <v>0</v>
      </c>
      <c r="K496">
        <v>556890</v>
      </c>
      <c r="L496">
        <v>0</v>
      </c>
      <c r="M496">
        <v>0</v>
      </c>
      <c r="N496">
        <v>454</v>
      </c>
      <c r="O496">
        <v>65</v>
      </c>
      <c r="P496" t="s">
        <v>25</v>
      </c>
      <c r="Q496">
        <v>2016479</v>
      </c>
      <c r="R496" t="s">
        <v>26</v>
      </c>
      <c r="S496" t="s">
        <v>33</v>
      </c>
      <c r="T496" t="s">
        <v>60</v>
      </c>
    </row>
    <row r="497" spans="1:20" x14ac:dyDescent="0.3">
      <c r="A497" t="s">
        <v>785</v>
      </c>
      <c r="B497" s="1">
        <v>45984</v>
      </c>
      <c r="C497" s="1" t="s">
        <v>1331</v>
      </c>
      <c r="D497" t="s">
        <v>235</v>
      </c>
      <c r="E497" t="s">
        <v>63</v>
      </c>
      <c r="F497" t="s">
        <v>44</v>
      </c>
      <c r="G497" t="s">
        <v>39</v>
      </c>
      <c r="H497" t="s">
        <v>40</v>
      </c>
      <c r="I497">
        <v>0</v>
      </c>
      <c r="J497">
        <v>95312</v>
      </c>
      <c r="K497">
        <v>0</v>
      </c>
      <c r="L497">
        <v>0</v>
      </c>
      <c r="M497">
        <v>0</v>
      </c>
      <c r="N497">
        <v>455</v>
      </c>
      <c r="O497">
        <v>40</v>
      </c>
      <c r="P497" t="s">
        <v>32</v>
      </c>
      <c r="Q497">
        <v>1982534</v>
      </c>
      <c r="R497" t="s">
        <v>49</v>
      </c>
      <c r="S497" t="s">
        <v>27</v>
      </c>
      <c r="T497" t="s">
        <v>34</v>
      </c>
    </row>
    <row r="498" spans="1:20" x14ac:dyDescent="0.3">
      <c r="A498" t="s">
        <v>786</v>
      </c>
      <c r="B498" s="1">
        <v>45989</v>
      </c>
      <c r="C498" s="1" t="s">
        <v>1331</v>
      </c>
      <c r="D498" t="s">
        <v>787</v>
      </c>
      <c r="E498" t="s">
        <v>37</v>
      </c>
      <c r="F498" t="s">
        <v>44</v>
      </c>
      <c r="G498" t="s">
        <v>39</v>
      </c>
      <c r="H498" t="s">
        <v>31</v>
      </c>
      <c r="I498">
        <v>0</v>
      </c>
      <c r="J498">
        <v>0</v>
      </c>
      <c r="K498">
        <v>1281875</v>
      </c>
      <c r="L498">
        <v>0</v>
      </c>
      <c r="M498">
        <v>0</v>
      </c>
      <c r="N498">
        <v>596</v>
      </c>
      <c r="O498">
        <v>70</v>
      </c>
      <c r="P498" t="s">
        <v>32</v>
      </c>
      <c r="Q498">
        <v>781221</v>
      </c>
      <c r="R498" t="s">
        <v>26</v>
      </c>
      <c r="S498" t="s">
        <v>33</v>
      </c>
      <c r="T498" t="s">
        <v>28</v>
      </c>
    </row>
    <row r="499" spans="1:20" x14ac:dyDescent="0.3">
      <c r="A499" t="s">
        <v>788</v>
      </c>
      <c r="B499" s="1">
        <v>45710</v>
      </c>
      <c r="C499" s="1" t="s">
        <v>1322</v>
      </c>
      <c r="D499" t="s">
        <v>360</v>
      </c>
      <c r="E499" t="s">
        <v>21</v>
      </c>
      <c r="F499" t="s">
        <v>22</v>
      </c>
      <c r="G499" t="s">
        <v>23</v>
      </c>
      <c r="H499" t="s">
        <v>24</v>
      </c>
      <c r="I499">
        <v>0</v>
      </c>
      <c r="J499">
        <v>0</v>
      </c>
      <c r="K499">
        <v>0</v>
      </c>
      <c r="L499">
        <v>0</v>
      </c>
      <c r="M499">
        <v>688.27</v>
      </c>
      <c r="N499">
        <v>634</v>
      </c>
      <c r="O499">
        <v>46</v>
      </c>
      <c r="P499" t="s">
        <v>32</v>
      </c>
      <c r="Q499">
        <v>2706547</v>
      </c>
      <c r="R499" t="s">
        <v>26</v>
      </c>
      <c r="S499" t="s">
        <v>27</v>
      </c>
      <c r="T499" t="s">
        <v>60</v>
      </c>
    </row>
    <row r="500" spans="1:20" x14ac:dyDescent="0.3">
      <c r="A500" t="s">
        <v>789</v>
      </c>
      <c r="B500" s="1">
        <v>45803</v>
      </c>
      <c r="C500" s="1" t="s">
        <v>1325</v>
      </c>
      <c r="D500" t="s">
        <v>790</v>
      </c>
      <c r="E500" t="s">
        <v>77</v>
      </c>
      <c r="F500" t="s">
        <v>22</v>
      </c>
      <c r="G500" t="s">
        <v>23</v>
      </c>
      <c r="H500" t="s">
        <v>40</v>
      </c>
      <c r="I500">
        <v>0</v>
      </c>
      <c r="J500">
        <v>83850</v>
      </c>
      <c r="K500">
        <v>0</v>
      </c>
      <c r="L500">
        <v>0</v>
      </c>
      <c r="M500">
        <v>0</v>
      </c>
      <c r="N500">
        <v>493</v>
      </c>
      <c r="O500">
        <v>33</v>
      </c>
      <c r="P500" t="s">
        <v>32</v>
      </c>
      <c r="Q500">
        <v>2380570</v>
      </c>
      <c r="R500" t="s">
        <v>26</v>
      </c>
      <c r="S500" t="s">
        <v>27</v>
      </c>
      <c r="T500" t="s">
        <v>60</v>
      </c>
    </row>
    <row r="501" spans="1:20" x14ac:dyDescent="0.3">
      <c r="A501" t="s">
        <v>791</v>
      </c>
      <c r="B501" s="1">
        <v>45848</v>
      </c>
      <c r="C501" s="1" t="s">
        <v>1327</v>
      </c>
      <c r="D501" t="s">
        <v>792</v>
      </c>
      <c r="E501" t="s">
        <v>77</v>
      </c>
      <c r="F501" t="s">
        <v>64</v>
      </c>
      <c r="G501" t="s">
        <v>39</v>
      </c>
      <c r="H501" t="s">
        <v>31</v>
      </c>
      <c r="I501">
        <v>0</v>
      </c>
      <c r="J501">
        <v>0</v>
      </c>
      <c r="K501">
        <v>227653</v>
      </c>
      <c r="L501">
        <v>0</v>
      </c>
      <c r="M501">
        <v>0</v>
      </c>
      <c r="N501">
        <v>507</v>
      </c>
      <c r="O501">
        <v>57</v>
      </c>
      <c r="P501" t="s">
        <v>25</v>
      </c>
      <c r="Q501">
        <v>1198212</v>
      </c>
      <c r="R501" t="s">
        <v>26</v>
      </c>
      <c r="S501" t="s">
        <v>33</v>
      </c>
      <c r="T501" t="s">
        <v>45</v>
      </c>
    </row>
    <row r="502" spans="1:20" x14ac:dyDescent="0.3">
      <c r="A502" t="s">
        <v>793</v>
      </c>
      <c r="B502" s="1">
        <v>45851</v>
      </c>
      <c r="C502" s="1" t="s">
        <v>1327</v>
      </c>
      <c r="D502" t="s">
        <v>362</v>
      </c>
      <c r="E502" t="s">
        <v>37</v>
      </c>
      <c r="F502" t="s">
        <v>64</v>
      </c>
      <c r="G502" t="s">
        <v>68</v>
      </c>
      <c r="H502" t="s">
        <v>31</v>
      </c>
      <c r="I502">
        <v>0</v>
      </c>
      <c r="J502">
        <v>0</v>
      </c>
      <c r="K502">
        <v>989162</v>
      </c>
      <c r="L502">
        <v>0</v>
      </c>
      <c r="M502">
        <v>0</v>
      </c>
      <c r="N502">
        <v>685</v>
      </c>
      <c r="O502">
        <v>23</v>
      </c>
      <c r="P502" t="s">
        <v>32</v>
      </c>
      <c r="Q502">
        <v>2314822</v>
      </c>
      <c r="R502" t="s">
        <v>49</v>
      </c>
      <c r="S502" t="s">
        <v>33</v>
      </c>
      <c r="T502" t="s">
        <v>60</v>
      </c>
    </row>
    <row r="503" spans="1:20" x14ac:dyDescent="0.3">
      <c r="A503" t="s">
        <v>794</v>
      </c>
      <c r="B503" s="1">
        <v>45670</v>
      </c>
      <c r="C503" s="1" t="s">
        <v>1321</v>
      </c>
      <c r="D503" t="s">
        <v>795</v>
      </c>
      <c r="E503" t="s">
        <v>63</v>
      </c>
      <c r="F503" t="s">
        <v>44</v>
      </c>
      <c r="G503" t="s">
        <v>23</v>
      </c>
      <c r="H503" t="s">
        <v>40</v>
      </c>
      <c r="I503">
        <v>0</v>
      </c>
      <c r="J503">
        <v>67424</v>
      </c>
      <c r="K503">
        <v>0</v>
      </c>
      <c r="L503">
        <v>0</v>
      </c>
      <c r="M503">
        <v>0</v>
      </c>
      <c r="N503">
        <v>867</v>
      </c>
      <c r="O503">
        <v>42</v>
      </c>
      <c r="P503" t="s">
        <v>32</v>
      </c>
      <c r="Q503">
        <v>2822370</v>
      </c>
      <c r="R503" t="s">
        <v>49</v>
      </c>
      <c r="S503" t="s">
        <v>27</v>
      </c>
      <c r="T503" t="s">
        <v>41</v>
      </c>
    </row>
    <row r="504" spans="1:20" x14ac:dyDescent="0.3">
      <c r="A504" t="s">
        <v>796</v>
      </c>
      <c r="B504" s="1">
        <v>45664</v>
      </c>
      <c r="C504" s="1" t="s">
        <v>1321</v>
      </c>
      <c r="D504" t="s">
        <v>100</v>
      </c>
      <c r="E504" t="s">
        <v>63</v>
      </c>
      <c r="F504" t="s">
        <v>21</v>
      </c>
      <c r="G504" t="s">
        <v>59</v>
      </c>
      <c r="H504" t="s">
        <v>31</v>
      </c>
      <c r="I504">
        <v>0</v>
      </c>
      <c r="J504">
        <v>0</v>
      </c>
      <c r="K504">
        <v>1634479</v>
      </c>
      <c r="L504">
        <v>0</v>
      </c>
      <c r="M504">
        <v>0</v>
      </c>
      <c r="N504">
        <v>670</v>
      </c>
      <c r="O504">
        <v>42</v>
      </c>
      <c r="P504" t="s">
        <v>32</v>
      </c>
      <c r="Q504">
        <v>1079231</v>
      </c>
      <c r="R504" t="s">
        <v>26</v>
      </c>
      <c r="S504" t="s">
        <v>33</v>
      </c>
      <c r="T504" t="s">
        <v>60</v>
      </c>
    </row>
    <row r="505" spans="1:20" x14ac:dyDescent="0.3">
      <c r="A505" t="s">
        <v>797</v>
      </c>
      <c r="B505" s="1">
        <v>45994</v>
      </c>
      <c r="C505" s="1" t="s">
        <v>1332</v>
      </c>
      <c r="D505" t="s">
        <v>475</v>
      </c>
      <c r="E505" t="s">
        <v>21</v>
      </c>
      <c r="F505" t="s">
        <v>64</v>
      </c>
      <c r="G505" t="s">
        <v>39</v>
      </c>
      <c r="H505" t="s">
        <v>24</v>
      </c>
      <c r="I505">
        <v>0</v>
      </c>
      <c r="J505">
        <v>0</v>
      </c>
      <c r="K505">
        <v>0</v>
      </c>
      <c r="L505">
        <v>0</v>
      </c>
      <c r="M505">
        <v>199.61</v>
      </c>
      <c r="N505">
        <v>659</v>
      </c>
      <c r="O505">
        <v>49</v>
      </c>
      <c r="P505" t="s">
        <v>32</v>
      </c>
      <c r="Q505">
        <v>1298270</v>
      </c>
      <c r="R505" t="s">
        <v>49</v>
      </c>
      <c r="S505" t="s">
        <v>27</v>
      </c>
      <c r="T505" t="s">
        <v>28</v>
      </c>
    </row>
    <row r="506" spans="1:20" x14ac:dyDescent="0.3">
      <c r="A506" t="s">
        <v>798</v>
      </c>
      <c r="B506" s="1">
        <v>45937</v>
      </c>
      <c r="C506" s="1" t="s">
        <v>1330</v>
      </c>
      <c r="D506" t="s">
        <v>799</v>
      </c>
      <c r="E506" t="s">
        <v>48</v>
      </c>
      <c r="F506" t="s">
        <v>44</v>
      </c>
      <c r="G506" t="s">
        <v>23</v>
      </c>
      <c r="H506" t="s">
        <v>24</v>
      </c>
      <c r="I506">
        <v>0</v>
      </c>
      <c r="J506">
        <v>0</v>
      </c>
      <c r="K506">
        <v>0</v>
      </c>
      <c r="L506">
        <v>0</v>
      </c>
      <c r="M506">
        <v>3359.56</v>
      </c>
      <c r="N506">
        <v>431</v>
      </c>
      <c r="O506">
        <v>46</v>
      </c>
      <c r="P506" t="s">
        <v>25</v>
      </c>
      <c r="Q506">
        <v>551532</v>
      </c>
      <c r="R506" t="s">
        <v>26</v>
      </c>
      <c r="S506" t="s">
        <v>27</v>
      </c>
      <c r="T506" t="s">
        <v>60</v>
      </c>
    </row>
    <row r="507" spans="1:20" x14ac:dyDescent="0.3">
      <c r="A507" t="s">
        <v>800</v>
      </c>
      <c r="B507" s="1">
        <v>45972</v>
      </c>
      <c r="C507" s="1" t="s">
        <v>1331</v>
      </c>
      <c r="D507" t="s">
        <v>801</v>
      </c>
      <c r="E507" t="s">
        <v>37</v>
      </c>
      <c r="F507" t="s">
        <v>64</v>
      </c>
      <c r="G507" t="s">
        <v>39</v>
      </c>
      <c r="H507" t="s">
        <v>40</v>
      </c>
      <c r="I507">
        <v>0</v>
      </c>
      <c r="J507">
        <v>64073</v>
      </c>
      <c r="K507">
        <v>0</v>
      </c>
      <c r="L507">
        <v>0</v>
      </c>
      <c r="M507">
        <v>0</v>
      </c>
      <c r="N507">
        <v>468</v>
      </c>
      <c r="O507">
        <v>70</v>
      </c>
      <c r="P507" t="s">
        <v>25</v>
      </c>
      <c r="Q507">
        <v>2004447</v>
      </c>
      <c r="R507" t="s">
        <v>26</v>
      </c>
      <c r="S507" t="s">
        <v>27</v>
      </c>
      <c r="T507" t="s">
        <v>60</v>
      </c>
    </row>
    <row r="508" spans="1:20" x14ac:dyDescent="0.3">
      <c r="A508" t="s">
        <v>802</v>
      </c>
      <c r="B508" s="1">
        <v>45849</v>
      </c>
      <c r="C508" s="1" t="s">
        <v>1327</v>
      </c>
      <c r="D508" t="s">
        <v>502</v>
      </c>
      <c r="E508" t="s">
        <v>48</v>
      </c>
      <c r="F508" t="s">
        <v>64</v>
      </c>
      <c r="G508" t="s">
        <v>23</v>
      </c>
      <c r="H508" t="s">
        <v>24</v>
      </c>
      <c r="I508">
        <v>0</v>
      </c>
      <c r="J508">
        <v>0</v>
      </c>
      <c r="K508">
        <v>0</v>
      </c>
      <c r="L508">
        <v>0</v>
      </c>
      <c r="M508">
        <v>6114.67</v>
      </c>
      <c r="N508">
        <v>618</v>
      </c>
      <c r="O508">
        <v>27</v>
      </c>
      <c r="P508" t="s">
        <v>32</v>
      </c>
      <c r="Q508">
        <v>2660366</v>
      </c>
      <c r="R508" t="s">
        <v>49</v>
      </c>
      <c r="S508" t="s">
        <v>27</v>
      </c>
      <c r="T508" t="s">
        <v>41</v>
      </c>
    </row>
    <row r="509" spans="1:20" x14ac:dyDescent="0.3">
      <c r="A509" t="s">
        <v>803</v>
      </c>
      <c r="B509" s="1">
        <v>45667</v>
      </c>
      <c r="C509" s="1" t="s">
        <v>1321</v>
      </c>
      <c r="D509" t="s">
        <v>297</v>
      </c>
      <c r="E509" t="s">
        <v>55</v>
      </c>
      <c r="F509" t="s">
        <v>44</v>
      </c>
      <c r="G509" t="s">
        <v>39</v>
      </c>
      <c r="H509" t="s">
        <v>40</v>
      </c>
      <c r="I509">
        <v>0</v>
      </c>
      <c r="J509">
        <v>74796</v>
      </c>
      <c r="K509">
        <v>0</v>
      </c>
      <c r="L509">
        <v>0</v>
      </c>
      <c r="M509">
        <v>0</v>
      </c>
      <c r="N509">
        <v>788</v>
      </c>
      <c r="O509">
        <v>45</v>
      </c>
      <c r="P509" t="s">
        <v>32</v>
      </c>
      <c r="Q509">
        <v>296904</v>
      </c>
      <c r="R509" t="s">
        <v>49</v>
      </c>
      <c r="S509" t="s">
        <v>27</v>
      </c>
      <c r="T509" t="s">
        <v>41</v>
      </c>
    </row>
    <row r="510" spans="1:20" x14ac:dyDescent="0.3">
      <c r="A510" t="s">
        <v>804</v>
      </c>
      <c r="B510" s="1">
        <v>45947</v>
      </c>
      <c r="C510" s="1" t="s">
        <v>1330</v>
      </c>
      <c r="D510" t="s">
        <v>521</v>
      </c>
      <c r="E510" t="s">
        <v>48</v>
      </c>
      <c r="F510" t="s">
        <v>64</v>
      </c>
      <c r="G510" t="s">
        <v>39</v>
      </c>
      <c r="H510" t="s">
        <v>24</v>
      </c>
      <c r="I510">
        <v>0</v>
      </c>
      <c r="J510">
        <v>0</v>
      </c>
      <c r="K510">
        <v>0</v>
      </c>
      <c r="L510">
        <v>0</v>
      </c>
      <c r="M510">
        <v>7332.85</v>
      </c>
      <c r="N510">
        <v>595</v>
      </c>
      <c r="O510">
        <v>29</v>
      </c>
      <c r="P510" t="s">
        <v>25</v>
      </c>
      <c r="Q510">
        <v>2671097</v>
      </c>
      <c r="R510" t="s">
        <v>49</v>
      </c>
      <c r="S510" t="s">
        <v>27</v>
      </c>
      <c r="T510" t="s">
        <v>28</v>
      </c>
    </row>
    <row r="511" spans="1:20" x14ac:dyDescent="0.3">
      <c r="A511" t="s">
        <v>805</v>
      </c>
      <c r="B511" s="1">
        <v>45996</v>
      </c>
      <c r="C511" s="1" t="s">
        <v>1332</v>
      </c>
      <c r="D511" t="s">
        <v>740</v>
      </c>
      <c r="E511" t="s">
        <v>63</v>
      </c>
      <c r="F511" t="s">
        <v>38</v>
      </c>
      <c r="G511" t="s">
        <v>59</v>
      </c>
      <c r="H511" t="s">
        <v>31</v>
      </c>
      <c r="I511">
        <v>0</v>
      </c>
      <c r="J511">
        <v>0</v>
      </c>
      <c r="K511">
        <v>218710</v>
      </c>
      <c r="L511">
        <v>0</v>
      </c>
      <c r="M511">
        <v>0</v>
      </c>
      <c r="N511">
        <v>635</v>
      </c>
      <c r="O511">
        <v>59</v>
      </c>
      <c r="P511" t="s">
        <v>25</v>
      </c>
      <c r="Q511">
        <v>2800877</v>
      </c>
      <c r="R511" t="s">
        <v>26</v>
      </c>
      <c r="S511" t="s">
        <v>33</v>
      </c>
      <c r="T511" t="s">
        <v>60</v>
      </c>
    </row>
    <row r="512" spans="1:20" x14ac:dyDescent="0.3">
      <c r="A512" t="s">
        <v>806</v>
      </c>
      <c r="B512" s="1">
        <v>45734</v>
      </c>
      <c r="C512" s="1" t="s">
        <v>1323</v>
      </c>
      <c r="D512" t="s">
        <v>84</v>
      </c>
      <c r="E512" t="s">
        <v>48</v>
      </c>
      <c r="F512" t="s">
        <v>22</v>
      </c>
      <c r="G512" t="s">
        <v>23</v>
      </c>
      <c r="H512" t="s">
        <v>31</v>
      </c>
      <c r="I512">
        <v>0</v>
      </c>
      <c r="J512">
        <v>0</v>
      </c>
      <c r="K512">
        <v>247244</v>
      </c>
      <c r="L512">
        <v>0</v>
      </c>
      <c r="M512">
        <v>0</v>
      </c>
      <c r="N512">
        <v>640</v>
      </c>
      <c r="O512">
        <v>33</v>
      </c>
      <c r="P512" t="s">
        <v>25</v>
      </c>
      <c r="Q512">
        <v>2827019</v>
      </c>
      <c r="R512" t="s">
        <v>26</v>
      </c>
      <c r="S512" t="s">
        <v>65</v>
      </c>
      <c r="T512" t="s">
        <v>34</v>
      </c>
    </row>
    <row r="513" spans="1:20" x14ac:dyDescent="0.3">
      <c r="A513" t="s">
        <v>807</v>
      </c>
      <c r="B513" s="1">
        <v>45761</v>
      </c>
      <c r="C513" s="1" t="s">
        <v>1324</v>
      </c>
      <c r="D513" t="s">
        <v>808</v>
      </c>
      <c r="E513" t="s">
        <v>55</v>
      </c>
      <c r="F513" t="s">
        <v>44</v>
      </c>
      <c r="G513" t="s">
        <v>39</v>
      </c>
      <c r="H513" t="s">
        <v>24</v>
      </c>
      <c r="I513">
        <v>0</v>
      </c>
      <c r="J513">
        <v>0</v>
      </c>
      <c r="K513">
        <v>0</v>
      </c>
      <c r="L513">
        <v>0</v>
      </c>
      <c r="M513">
        <v>937.01</v>
      </c>
      <c r="N513">
        <v>882</v>
      </c>
      <c r="O513">
        <v>27</v>
      </c>
      <c r="P513" t="s">
        <v>25</v>
      </c>
      <c r="Q513">
        <v>244187</v>
      </c>
      <c r="R513" t="s">
        <v>49</v>
      </c>
      <c r="S513" t="s">
        <v>27</v>
      </c>
      <c r="T513" t="s">
        <v>41</v>
      </c>
    </row>
    <row r="514" spans="1:20" x14ac:dyDescent="0.3">
      <c r="A514" t="s">
        <v>809</v>
      </c>
      <c r="B514" s="1">
        <v>45987</v>
      </c>
      <c r="C514" s="1" t="s">
        <v>1331</v>
      </c>
      <c r="D514" t="s">
        <v>430</v>
      </c>
      <c r="E514" t="s">
        <v>21</v>
      </c>
      <c r="F514" t="s">
        <v>38</v>
      </c>
      <c r="G514" t="s">
        <v>23</v>
      </c>
      <c r="H514" t="s">
        <v>52</v>
      </c>
      <c r="I514">
        <v>0</v>
      </c>
      <c r="J514">
        <v>0</v>
      </c>
      <c r="K514">
        <v>0</v>
      </c>
      <c r="L514">
        <v>2631</v>
      </c>
      <c r="M514">
        <v>0</v>
      </c>
      <c r="N514">
        <v>346</v>
      </c>
      <c r="O514">
        <v>35</v>
      </c>
      <c r="P514" t="s">
        <v>32</v>
      </c>
      <c r="Q514">
        <v>1581936</v>
      </c>
      <c r="R514" t="s">
        <v>26</v>
      </c>
      <c r="S514" t="s">
        <v>71</v>
      </c>
      <c r="T514" t="s">
        <v>34</v>
      </c>
    </row>
    <row r="515" spans="1:20" x14ac:dyDescent="0.3">
      <c r="A515" t="s">
        <v>810</v>
      </c>
      <c r="B515" s="1">
        <v>45911</v>
      </c>
      <c r="C515" s="1" t="s">
        <v>1329</v>
      </c>
      <c r="D515" t="s">
        <v>787</v>
      </c>
      <c r="E515" t="s">
        <v>21</v>
      </c>
      <c r="F515" t="s">
        <v>38</v>
      </c>
      <c r="G515" t="s">
        <v>59</v>
      </c>
      <c r="H515" t="s">
        <v>56</v>
      </c>
      <c r="I515">
        <v>133764</v>
      </c>
      <c r="J515">
        <v>0</v>
      </c>
      <c r="K515">
        <v>0</v>
      </c>
      <c r="L515">
        <v>0</v>
      </c>
      <c r="M515">
        <v>0</v>
      </c>
      <c r="N515">
        <v>784</v>
      </c>
      <c r="O515">
        <v>59</v>
      </c>
      <c r="P515" t="s">
        <v>25</v>
      </c>
      <c r="Q515">
        <v>1276687</v>
      </c>
      <c r="R515" t="s">
        <v>26</v>
      </c>
      <c r="S515" t="s">
        <v>27</v>
      </c>
      <c r="T515" t="s">
        <v>28</v>
      </c>
    </row>
    <row r="516" spans="1:20" x14ac:dyDescent="0.3">
      <c r="A516" t="s">
        <v>811</v>
      </c>
      <c r="B516" s="1">
        <v>45853</v>
      </c>
      <c r="C516" s="1" t="s">
        <v>1327</v>
      </c>
      <c r="D516" t="s">
        <v>622</v>
      </c>
      <c r="E516" t="s">
        <v>55</v>
      </c>
      <c r="F516" t="s">
        <v>44</v>
      </c>
      <c r="G516" t="s">
        <v>23</v>
      </c>
      <c r="H516" t="s">
        <v>24</v>
      </c>
      <c r="I516">
        <v>0</v>
      </c>
      <c r="J516">
        <v>0</v>
      </c>
      <c r="K516">
        <v>0</v>
      </c>
      <c r="L516">
        <v>0</v>
      </c>
      <c r="M516">
        <v>1576.5</v>
      </c>
      <c r="N516">
        <v>651</v>
      </c>
      <c r="O516">
        <v>41</v>
      </c>
      <c r="P516" t="s">
        <v>32</v>
      </c>
      <c r="Q516">
        <v>2444842</v>
      </c>
      <c r="R516" t="s">
        <v>26</v>
      </c>
      <c r="S516" t="s">
        <v>27</v>
      </c>
      <c r="T516" t="s">
        <v>60</v>
      </c>
    </row>
    <row r="517" spans="1:20" x14ac:dyDescent="0.3">
      <c r="A517" t="s">
        <v>812</v>
      </c>
      <c r="B517" s="1">
        <v>45987</v>
      </c>
      <c r="C517" s="1" t="s">
        <v>1331</v>
      </c>
      <c r="D517" t="s">
        <v>297</v>
      </c>
      <c r="E517" t="s">
        <v>63</v>
      </c>
      <c r="F517" t="s">
        <v>38</v>
      </c>
      <c r="G517" t="s">
        <v>68</v>
      </c>
      <c r="H517" t="s">
        <v>56</v>
      </c>
      <c r="I517">
        <v>15873</v>
      </c>
      <c r="J517">
        <v>0</v>
      </c>
      <c r="K517">
        <v>0</v>
      </c>
      <c r="L517">
        <v>0</v>
      </c>
      <c r="M517">
        <v>0</v>
      </c>
      <c r="N517">
        <v>336</v>
      </c>
      <c r="O517">
        <v>64</v>
      </c>
      <c r="P517" t="s">
        <v>32</v>
      </c>
      <c r="Q517">
        <v>2545698</v>
      </c>
      <c r="R517" t="s">
        <v>49</v>
      </c>
      <c r="S517" t="s">
        <v>27</v>
      </c>
      <c r="T517" t="s">
        <v>34</v>
      </c>
    </row>
    <row r="518" spans="1:20" x14ac:dyDescent="0.3">
      <c r="A518" t="s">
        <v>813</v>
      </c>
      <c r="B518" s="1">
        <v>45727</v>
      </c>
      <c r="C518" s="1" t="s">
        <v>1323</v>
      </c>
      <c r="D518" t="s">
        <v>814</v>
      </c>
      <c r="E518" t="s">
        <v>55</v>
      </c>
      <c r="F518" t="s">
        <v>38</v>
      </c>
      <c r="G518" t="s">
        <v>23</v>
      </c>
      <c r="H518" t="s">
        <v>52</v>
      </c>
      <c r="I518">
        <v>0</v>
      </c>
      <c r="J518">
        <v>0</v>
      </c>
      <c r="K518">
        <v>0</v>
      </c>
      <c r="L518">
        <v>44028</v>
      </c>
      <c r="M518">
        <v>0</v>
      </c>
      <c r="N518">
        <v>637</v>
      </c>
      <c r="O518">
        <v>28</v>
      </c>
      <c r="P518" t="s">
        <v>25</v>
      </c>
      <c r="Q518">
        <v>1267364</v>
      </c>
      <c r="R518" t="s">
        <v>49</v>
      </c>
      <c r="S518" t="s">
        <v>33</v>
      </c>
      <c r="T518" t="s">
        <v>28</v>
      </c>
    </row>
    <row r="519" spans="1:20" x14ac:dyDescent="0.3">
      <c r="A519" t="s">
        <v>815</v>
      </c>
      <c r="B519" s="1">
        <v>45888</v>
      </c>
      <c r="C519" s="1" t="s">
        <v>1328</v>
      </c>
      <c r="D519" t="s">
        <v>673</v>
      </c>
      <c r="E519" t="s">
        <v>77</v>
      </c>
      <c r="F519" t="s">
        <v>38</v>
      </c>
      <c r="G519" t="s">
        <v>68</v>
      </c>
      <c r="H519" t="s">
        <v>31</v>
      </c>
      <c r="I519">
        <v>0</v>
      </c>
      <c r="J519">
        <v>0</v>
      </c>
      <c r="K519">
        <v>1463675</v>
      </c>
      <c r="L519">
        <v>0</v>
      </c>
      <c r="M519">
        <v>0</v>
      </c>
      <c r="N519">
        <v>656</v>
      </c>
      <c r="O519">
        <v>33</v>
      </c>
      <c r="P519" t="s">
        <v>32</v>
      </c>
      <c r="Q519">
        <v>952666</v>
      </c>
      <c r="R519" t="s">
        <v>26</v>
      </c>
      <c r="S519" t="s">
        <v>65</v>
      </c>
      <c r="T519" t="s">
        <v>41</v>
      </c>
    </row>
    <row r="520" spans="1:20" x14ac:dyDescent="0.3">
      <c r="A520" t="s">
        <v>816</v>
      </c>
      <c r="B520" s="1">
        <v>45781</v>
      </c>
      <c r="C520" s="1" t="s">
        <v>1325</v>
      </c>
      <c r="D520" t="s">
        <v>416</v>
      </c>
      <c r="E520" t="s">
        <v>55</v>
      </c>
      <c r="F520" t="s">
        <v>38</v>
      </c>
      <c r="G520" t="s">
        <v>39</v>
      </c>
      <c r="H520" t="s">
        <v>52</v>
      </c>
      <c r="I520">
        <v>0</v>
      </c>
      <c r="J520">
        <v>0</v>
      </c>
      <c r="K520">
        <v>0</v>
      </c>
      <c r="L520">
        <v>24991</v>
      </c>
      <c r="M520">
        <v>0</v>
      </c>
      <c r="N520">
        <v>453</v>
      </c>
      <c r="O520">
        <v>46</v>
      </c>
      <c r="P520" t="s">
        <v>32</v>
      </c>
      <c r="Q520">
        <v>452099</v>
      </c>
      <c r="R520" t="s">
        <v>49</v>
      </c>
      <c r="S520" t="s">
        <v>33</v>
      </c>
      <c r="T520" t="s">
        <v>41</v>
      </c>
    </row>
    <row r="521" spans="1:20" x14ac:dyDescent="0.3">
      <c r="A521" t="s">
        <v>817</v>
      </c>
      <c r="B521" s="1">
        <v>45927</v>
      </c>
      <c r="C521" s="1" t="s">
        <v>1329</v>
      </c>
      <c r="D521" t="s">
        <v>818</v>
      </c>
      <c r="E521" t="s">
        <v>37</v>
      </c>
      <c r="F521" t="s">
        <v>38</v>
      </c>
      <c r="G521" t="s">
        <v>68</v>
      </c>
      <c r="H521" t="s">
        <v>24</v>
      </c>
      <c r="I521">
        <v>0</v>
      </c>
      <c r="J521">
        <v>0</v>
      </c>
      <c r="K521">
        <v>0</v>
      </c>
      <c r="L521">
        <v>0</v>
      </c>
      <c r="M521">
        <v>3803.94</v>
      </c>
      <c r="N521">
        <v>452</v>
      </c>
      <c r="O521">
        <v>52</v>
      </c>
      <c r="P521" t="s">
        <v>25</v>
      </c>
      <c r="Q521">
        <v>1336649</v>
      </c>
      <c r="R521" t="s">
        <v>49</v>
      </c>
      <c r="S521" t="s">
        <v>27</v>
      </c>
      <c r="T521" t="s">
        <v>41</v>
      </c>
    </row>
    <row r="522" spans="1:20" x14ac:dyDescent="0.3">
      <c r="A522" t="s">
        <v>819</v>
      </c>
      <c r="B522" s="1">
        <v>45850</v>
      </c>
      <c r="C522" s="1" t="s">
        <v>1327</v>
      </c>
      <c r="D522" t="s">
        <v>342</v>
      </c>
      <c r="E522" t="s">
        <v>55</v>
      </c>
      <c r="F522" t="s">
        <v>64</v>
      </c>
      <c r="G522" t="s">
        <v>68</v>
      </c>
      <c r="H522" t="s">
        <v>56</v>
      </c>
      <c r="I522">
        <v>78601</v>
      </c>
      <c r="J522">
        <v>0</v>
      </c>
      <c r="K522">
        <v>0</v>
      </c>
      <c r="L522">
        <v>0</v>
      </c>
      <c r="M522">
        <v>0</v>
      </c>
      <c r="N522">
        <v>402</v>
      </c>
      <c r="O522">
        <v>48</v>
      </c>
      <c r="P522" t="s">
        <v>25</v>
      </c>
      <c r="Q522">
        <v>937977</v>
      </c>
      <c r="R522" t="s">
        <v>26</v>
      </c>
      <c r="S522" t="s">
        <v>27</v>
      </c>
      <c r="T522" t="s">
        <v>34</v>
      </c>
    </row>
    <row r="523" spans="1:20" x14ac:dyDescent="0.3">
      <c r="A523" t="s">
        <v>820</v>
      </c>
      <c r="B523" s="1">
        <v>45889</v>
      </c>
      <c r="C523" s="1" t="s">
        <v>1328</v>
      </c>
      <c r="D523" t="s">
        <v>87</v>
      </c>
      <c r="E523" t="s">
        <v>63</v>
      </c>
      <c r="F523" t="s">
        <v>64</v>
      </c>
      <c r="G523" t="s">
        <v>68</v>
      </c>
      <c r="H523" t="s">
        <v>56</v>
      </c>
      <c r="I523">
        <v>56311</v>
      </c>
      <c r="J523">
        <v>0</v>
      </c>
      <c r="K523">
        <v>0</v>
      </c>
      <c r="L523">
        <v>0</v>
      </c>
      <c r="M523">
        <v>0</v>
      </c>
      <c r="N523">
        <v>544</v>
      </c>
      <c r="O523">
        <v>67</v>
      </c>
      <c r="P523" t="s">
        <v>25</v>
      </c>
      <c r="Q523">
        <v>1715308</v>
      </c>
      <c r="R523" t="s">
        <v>26</v>
      </c>
      <c r="S523" t="s">
        <v>27</v>
      </c>
      <c r="T523" t="s">
        <v>28</v>
      </c>
    </row>
    <row r="524" spans="1:20" x14ac:dyDescent="0.3">
      <c r="A524" t="s">
        <v>821</v>
      </c>
      <c r="B524" s="1">
        <v>45912</v>
      </c>
      <c r="C524" s="1" t="s">
        <v>1329</v>
      </c>
      <c r="D524" t="s">
        <v>625</v>
      </c>
      <c r="E524" t="s">
        <v>21</v>
      </c>
      <c r="F524" t="s">
        <v>22</v>
      </c>
      <c r="G524" t="s">
        <v>39</v>
      </c>
      <c r="H524" t="s">
        <v>56</v>
      </c>
      <c r="I524">
        <v>1793</v>
      </c>
      <c r="J524">
        <v>0</v>
      </c>
      <c r="K524">
        <v>0</v>
      </c>
      <c r="L524">
        <v>0</v>
      </c>
      <c r="M524">
        <v>0</v>
      </c>
      <c r="N524">
        <v>493</v>
      </c>
      <c r="O524">
        <v>36</v>
      </c>
      <c r="P524" t="s">
        <v>25</v>
      </c>
      <c r="Q524">
        <v>2306746</v>
      </c>
      <c r="R524" t="s">
        <v>49</v>
      </c>
      <c r="S524" t="s">
        <v>27</v>
      </c>
      <c r="T524" t="s">
        <v>45</v>
      </c>
    </row>
    <row r="525" spans="1:20" x14ac:dyDescent="0.3">
      <c r="A525" t="s">
        <v>822</v>
      </c>
      <c r="B525" s="1">
        <v>45954</v>
      </c>
      <c r="C525" s="1" t="s">
        <v>1330</v>
      </c>
      <c r="D525" t="s">
        <v>191</v>
      </c>
      <c r="E525" t="s">
        <v>37</v>
      </c>
      <c r="F525" t="s">
        <v>64</v>
      </c>
      <c r="G525" t="s">
        <v>59</v>
      </c>
      <c r="H525" t="s">
        <v>52</v>
      </c>
      <c r="I525">
        <v>0</v>
      </c>
      <c r="J525">
        <v>0</v>
      </c>
      <c r="K525">
        <v>0</v>
      </c>
      <c r="L525">
        <v>13980</v>
      </c>
      <c r="M525">
        <v>0</v>
      </c>
      <c r="N525">
        <v>668</v>
      </c>
      <c r="O525">
        <v>26</v>
      </c>
      <c r="P525" t="s">
        <v>32</v>
      </c>
      <c r="Q525">
        <v>2212289</v>
      </c>
      <c r="R525" t="s">
        <v>49</v>
      </c>
      <c r="S525" t="s">
        <v>71</v>
      </c>
      <c r="T525" t="s">
        <v>28</v>
      </c>
    </row>
    <row r="526" spans="1:20" x14ac:dyDescent="0.3">
      <c r="A526" t="s">
        <v>823</v>
      </c>
      <c r="B526" s="1">
        <v>45819</v>
      </c>
      <c r="C526" s="1" t="s">
        <v>1326</v>
      </c>
      <c r="D526" t="s">
        <v>511</v>
      </c>
      <c r="E526" t="s">
        <v>77</v>
      </c>
      <c r="F526" t="s">
        <v>21</v>
      </c>
      <c r="G526" t="s">
        <v>39</v>
      </c>
      <c r="H526" t="s">
        <v>31</v>
      </c>
      <c r="I526">
        <v>0</v>
      </c>
      <c r="J526">
        <v>0</v>
      </c>
      <c r="K526">
        <v>153673</v>
      </c>
      <c r="L526">
        <v>0</v>
      </c>
      <c r="M526">
        <v>0</v>
      </c>
      <c r="N526">
        <v>335</v>
      </c>
      <c r="O526">
        <v>36</v>
      </c>
      <c r="P526" t="s">
        <v>32</v>
      </c>
      <c r="Q526">
        <v>2323578</v>
      </c>
      <c r="R526" t="s">
        <v>26</v>
      </c>
      <c r="S526" t="s">
        <v>65</v>
      </c>
      <c r="T526" t="s">
        <v>60</v>
      </c>
    </row>
    <row r="527" spans="1:20" x14ac:dyDescent="0.3">
      <c r="A527" t="s">
        <v>824</v>
      </c>
      <c r="B527" s="1">
        <v>45658</v>
      </c>
      <c r="C527" s="1" t="s">
        <v>1321</v>
      </c>
      <c r="D527" t="s">
        <v>272</v>
      </c>
      <c r="E527" t="s">
        <v>55</v>
      </c>
      <c r="F527" t="s">
        <v>22</v>
      </c>
      <c r="G527" t="s">
        <v>68</v>
      </c>
      <c r="H527" t="s">
        <v>31</v>
      </c>
      <c r="I527">
        <v>0</v>
      </c>
      <c r="J527">
        <v>0</v>
      </c>
      <c r="K527">
        <v>1826081</v>
      </c>
      <c r="L527">
        <v>0</v>
      </c>
      <c r="M527">
        <v>0</v>
      </c>
      <c r="N527">
        <v>759</v>
      </c>
      <c r="O527">
        <v>30</v>
      </c>
      <c r="P527" t="s">
        <v>25</v>
      </c>
      <c r="Q527">
        <v>772283</v>
      </c>
      <c r="R527" t="s">
        <v>26</v>
      </c>
      <c r="S527" t="s">
        <v>33</v>
      </c>
      <c r="T527" t="s">
        <v>28</v>
      </c>
    </row>
    <row r="528" spans="1:20" x14ac:dyDescent="0.3">
      <c r="A528" t="s">
        <v>825</v>
      </c>
      <c r="B528" s="1">
        <v>45972</v>
      </c>
      <c r="C528" s="1" t="s">
        <v>1331</v>
      </c>
      <c r="D528" t="s">
        <v>631</v>
      </c>
      <c r="E528" t="s">
        <v>63</v>
      </c>
      <c r="F528" t="s">
        <v>38</v>
      </c>
      <c r="G528" t="s">
        <v>39</v>
      </c>
      <c r="H528" t="s">
        <v>52</v>
      </c>
      <c r="I528">
        <v>0</v>
      </c>
      <c r="J528">
        <v>0</v>
      </c>
      <c r="K528">
        <v>0</v>
      </c>
      <c r="L528">
        <v>16222</v>
      </c>
      <c r="M528">
        <v>0</v>
      </c>
      <c r="N528">
        <v>812</v>
      </c>
      <c r="O528">
        <v>70</v>
      </c>
      <c r="P528" t="s">
        <v>25</v>
      </c>
      <c r="Q528">
        <v>2274697</v>
      </c>
      <c r="R528" t="s">
        <v>49</v>
      </c>
      <c r="S528" t="s">
        <v>74</v>
      </c>
      <c r="T528" t="s">
        <v>28</v>
      </c>
    </row>
    <row r="529" spans="1:20" x14ac:dyDescent="0.3">
      <c r="A529" t="s">
        <v>826</v>
      </c>
      <c r="B529" s="1">
        <v>45754</v>
      </c>
      <c r="C529" s="1" t="s">
        <v>1324</v>
      </c>
      <c r="D529" t="s">
        <v>132</v>
      </c>
      <c r="E529" t="s">
        <v>55</v>
      </c>
      <c r="F529" t="s">
        <v>64</v>
      </c>
      <c r="G529" t="s">
        <v>39</v>
      </c>
      <c r="H529" t="s">
        <v>52</v>
      </c>
      <c r="I529">
        <v>0</v>
      </c>
      <c r="J529">
        <v>0</v>
      </c>
      <c r="K529">
        <v>0</v>
      </c>
      <c r="L529">
        <v>13594</v>
      </c>
      <c r="M529">
        <v>0</v>
      </c>
      <c r="N529">
        <v>553</v>
      </c>
      <c r="O529">
        <v>52</v>
      </c>
      <c r="P529" t="s">
        <v>32</v>
      </c>
      <c r="Q529">
        <v>2987035</v>
      </c>
      <c r="R529" t="s">
        <v>26</v>
      </c>
      <c r="S529" t="s">
        <v>33</v>
      </c>
      <c r="T529" t="s">
        <v>60</v>
      </c>
    </row>
    <row r="530" spans="1:20" x14ac:dyDescent="0.3">
      <c r="A530" t="s">
        <v>827</v>
      </c>
      <c r="B530" s="1">
        <v>45965</v>
      </c>
      <c r="C530" s="1" t="s">
        <v>1331</v>
      </c>
      <c r="D530" t="s">
        <v>215</v>
      </c>
      <c r="E530" t="s">
        <v>21</v>
      </c>
      <c r="F530" t="s">
        <v>44</v>
      </c>
      <c r="G530" t="s">
        <v>39</v>
      </c>
      <c r="H530" t="s">
        <v>56</v>
      </c>
      <c r="I530">
        <v>54022</v>
      </c>
      <c r="J530">
        <v>0</v>
      </c>
      <c r="K530">
        <v>0</v>
      </c>
      <c r="L530">
        <v>0</v>
      </c>
      <c r="M530">
        <v>0</v>
      </c>
      <c r="N530">
        <v>509</v>
      </c>
      <c r="O530">
        <v>65</v>
      </c>
      <c r="P530" t="s">
        <v>25</v>
      </c>
      <c r="Q530">
        <v>925898</v>
      </c>
      <c r="R530" t="s">
        <v>49</v>
      </c>
      <c r="S530" t="s">
        <v>27</v>
      </c>
      <c r="T530" t="s">
        <v>34</v>
      </c>
    </row>
    <row r="531" spans="1:20" x14ac:dyDescent="0.3">
      <c r="A531" t="s">
        <v>828</v>
      </c>
      <c r="B531" s="1">
        <v>45833</v>
      </c>
      <c r="C531" s="1" t="s">
        <v>1326</v>
      </c>
      <c r="D531" t="s">
        <v>319</v>
      </c>
      <c r="E531" t="s">
        <v>77</v>
      </c>
      <c r="F531" t="s">
        <v>64</v>
      </c>
      <c r="G531" t="s">
        <v>23</v>
      </c>
      <c r="H531" t="s">
        <v>52</v>
      </c>
      <c r="I531">
        <v>0</v>
      </c>
      <c r="J531">
        <v>0</v>
      </c>
      <c r="K531">
        <v>0</v>
      </c>
      <c r="L531">
        <v>7379</v>
      </c>
      <c r="M531">
        <v>0</v>
      </c>
      <c r="N531">
        <v>390</v>
      </c>
      <c r="O531">
        <v>57</v>
      </c>
      <c r="P531" t="s">
        <v>32</v>
      </c>
      <c r="Q531">
        <v>1632779</v>
      </c>
      <c r="R531" t="s">
        <v>26</v>
      </c>
      <c r="S531" t="s">
        <v>74</v>
      </c>
      <c r="T531" t="s">
        <v>28</v>
      </c>
    </row>
    <row r="532" spans="1:20" x14ac:dyDescent="0.3">
      <c r="A532" t="s">
        <v>829</v>
      </c>
      <c r="B532" s="1">
        <v>45753</v>
      </c>
      <c r="C532" s="1" t="s">
        <v>1324</v>
      </c>
      <c r="D532" t="s">
        <v>434</v>
      </c>
      <c r="E532" t="s">
        <v>37</v>
      </c>
      <c r="F532" t="s">
        <v>21</v>
      </c>
      <c r="G532" t="s">
        <v>68</v>
      </c>
      <c r="H532" t="s">
        <v>31</v>
      </c>
      <c r="I532">
        <v>0</v>
      </c>
      <c r="J532">
        <v>0</v>
      </c>
      <c r="K532">
        <v>255921</v>
      </c>
      <c r="L532">
        <v>0</v>
      </c>
      <c r="M532">
        <v>0</v>
      </c>
      <c r="N532">
        <v>885</v>
      </c>
      <c r="O532">
        <v>38</v>
      </c>
      <c r="P532" t="s">
        <v>25</v>
      </c>
      <c r="Q532">
        <v>2823384</v>
      </c>
      <c r="R532" t="s">
        <v>26</v>
      </c>
      <c r="S532" t="s">
        <v>65</v>
      </c>
      <c r="T532" t="s">
        <v>60</v>
      </c>
    </row>
    <row r="533" spans="1:20" x14ac:dyDescent="0.3">
      <c r="A533" t="s">
        <v>830</v>
      </c>
      <c r="B533" s="1">
        <v>45965</v>
      </c>
      <c r="C533" s="1" t="s">
        <v>1331</v>
      </c>
      <c r="D533" t="s">
        <v>150</v>
      </c>
      <c r="E533" t="s">
        <v>55</v>
      </c>
      <c r="F533" t="s">
        <v>21</v>
      </c>
      <c r="G533" t="s">
        <v>23</v>
      </c>
      <c r="H533" t="s">
        <v>56</v>
      </c>
      <c r="I533">
        <v>106197</v>
      </c>
      <c r="J533">
        <v>0</v>
      </c>
      <c r="K533">
        <v>0</v>
      </c>
      <c r="L533">
        <v>0</v>
      </c>
      <c r="M533">
        <v>0</v>
      </c>
      <c r="N533">
        <v>551</v>
      </c>
      <c r="O533">
        <v>44</v>
      </c>
      <c r="P533" t="s">
        <v>32</v>
      </c>
      <c r="Q533">
        <v>2672606</v>
      </c>
      <c r="R533" t="s">
        <v>49</v>
      </c>
      <c r="S533" t="s">
        <v>27</v>
      </c>
      <c r="T533" t="s">
        <v>45</v>
      </c>
    </row>
    <row r="534" spans="1:20" x14ac:dyDescent="0.3">
      <c r="A534" t="s">
        <v>831</v>
      </c>
      <c r="B534" s="1">
        <v>45881</v>
      </c>
      <c r="C534" s="1" t="s">
        <v>1328</v>
      </c>
      <c r="D534" t="s">
        <v>91</v>
      </c>
      <c r="E534" t="s">
        <v>77</v>
      </c>
      <c r="F534" t="s">
        <v>21</v>
      </c>
      <c r="G534" t="s">
        <v>59</v>
      </c>
      <c r="H534" t="s">
        <v>24</v>
      </c>
      <c r="I534">
        <v>0</v>
      </c>
      <c r="J534">
        <v>0</v>
      </c>
      <c r="K534">
        <v>0</v>
      </c>
      <c r="L534">
        <v>0</v>
      </c>
      <c r="M534">
        <v>3452.55</v>
      </c>
      <c r="N534">
        <v>303</v>
      </c>
      <c r="O534">
        <v>66</v>
      </c>
      <c r="P534" t="s">
        <v>32</v>
      </c>
      <c r="Q534">
        <v>362862</v>
      </c>
      <c r="R534" t="s">
        <v>26</v>
      </c>
      <c r="S534" t="s">
        <v>27</v>
      </c>
      <c r="T534" t="s">
        <v>28</v>
      </c>
    </row>
    <row r="535" spans="1:20" x14ac:dyDescent="0.3">
      <c r="A535" t="s">
        <v>832</v>
      </c>
      <c r="B535" s="1">
        <v>45880</v>
      </c>
      <c r="C535" s="1" t="s">
        <v>1328</v>
      </c>
      <c r="D535" t="s">
        <v>173</v>
      </c>
      <c r="E535" t="s">
        <v>55</v>
      </c>
      <c r="F535" t="s">
        <v>44</v>
      </c>
      <c r="G535" t="s">
        <v>39</v>
      </c>
      <c r="H535" t="s">
        <v>52</v>
      </c>
      <c r="I535">
        <v>0</v>
      </c>
      <c r="J535">
        <v>0</v>
      </c>
      <c r="K535">
        <v>0</v>
      </c>
      <c r="L535">
        <v>18490</v>
      </c>
      <c r="M535">
        <v>0</v>
      </c>
      <c r="N535">
        <v>472</v>
      </c>
      <c r="O535">
        <v>23</v>
      </c>
      <c r="P535" t="s">
        <v>25</v>
      </c>
      <c r="Q535">
        <v>555138</v>
      </c>
      <c r="R535" t="s">
        <v>49</v>
      </c>
      <c r="S535" t="s">
        <v>71</v>
      </c>
      <c r="T535" t="s">
        <v>28</v>
      </c>
    </row>
    <row r="536" spans="1:20" x14ac:dyDescent="0.3">
      <c r="A536" t="s">
        <v>833</v>
      </c>
      <c r="B536" s="1">
        <v>45945</v>
      </c>
      <c r="C536" s="1" t="s">
        <v>1330</v>
      </c>
      <c r="D536" t="s">
        <v>729</v>
      </c>
      <c r="E536" t="s">
        <v>63</v>
      </c>
      <c r="F536" t="s">
        <v>22</v>
      </c>
      <c r="G536" t="s">
        <v>39</v>
      </c>
      <c r="H536" t="s">
        <v>52</v>
      </c>
      <c r="I536">
        <v>0</v>
      </c>
      <c r="J536">
        <v>0</v>
      </c>
      <c r="K536">
        <v>0</v>
      </c>
      <c r="L536">
        <v>23584</v>
      </c>
      <c r="M536">
        <v>0</v>
      </c>
      <c r="N536">
        <v>585</v>
      </c>
      <c r="O536">
        <v>58</v>
      </c>
      <c r="P536" t="s">
        <v>32</v>
      </c>
      <c r="Q536">
        <v>1318806</v>
      </c>
      <c r="R536" t="s">
        <v>26</v>
      </c>
      <c r="S536" t="s">
        <v>33</v>
      </c>
      <c r="T536" t="s">
        <v>60</v>
      </c>
    </row>
    <row r="537" spans="1:20" x14ac:dyDescent="0.3">
      <c r="A537" t="s">
        <v>834</v>
      </c>
      <c r="B537" s="1">
        <v>45981</v>
      </c>
      <c r="C537" s="1" t="s">
        <v>1331</v>
      </c>
      <c r="D537" t="s">
        <v>93</v>
      </c>
      <c r="E537" t="s">
        <v>55</v>
      </c>
      <c r="F537" t="s">
        <v>21</v>
      </c>
      <c r="G537" t="s">
        <v>68</v>
      </c>
      <c r="H537" t="s">
        <v>31</v>
      </c>
      <c r="I537">
        <v>0</v>
      </c>
      <c r="J537">
        <v>0</v>
      </c>
      <c r="K537">
        <v>1092922</v>
      </c>
      <c r="L537">
        <v>0</v>
      </c>
      <c r="M537">
        <v>0</v>
      </c>
      <c r="N537">
        <v>569</v>
      </c>
      <c r="O537">
        <v>28</v>
      </c>
      <c r="P537" t="s">
        <v>25</v>
      </c>
      <c r="Q537">
        <v>1827028</v>
      </c>
      <c r="R537" t="s">
        <v>26</v>
      </c>
      <c r="S537" t="s">
        <v>65</v>
      </c>
      <c r="T537" t="s">
        <v>28</v>
      </c>
    </row>
    <row r="538" spans="1:20" x14ac:dyDescent="0.3">
      <c r="A538" t="s">
        <v>835</v>
      </c>
      <c r="B538" s="1">
        <v>45723</v>
      </c>
      <c r="C538" s="1" t="s">
        <v>1323</v>
      </c>
      <c r="D538" t="s">
        <v>148</v>
      </c>
      <c r="E538" t="s">
        <v>77</v>
      </c>
      <c r="F538" t="s">
        <v>21</v>
      </c>
      <c r="G538" t="s">
        <v>68</v>
      </c>
      <c r="H538" t="s">
        <v>40</v>
      </c>
      <c r="I538">
        <v>0</v>
      </c>
      <c r="J538">
        <v>16027</v>
      </c>
      <c r="K538">
        <v>0</v>
      </c>
      <c r="L538">
        <v>0</v>
      </c>
      <c r="M538">
        <v>0</v>
      </c>
      <c r="N538">
        <v>397</v>
      </c>
      <c r="O538">
        <v>41</v>
      </c>
      <c r="P538" t="s">
        <v>25</v>
      </c>
      <c r="Q538">
        <v>749097</v>
      </c>
      <c r="R538" t="s">
        <v>49</v>
      </c>
      <c r="S538" t="s">
        <v>27</v>
      </c>
      <c r="T538" t="s">
        <v>60</v>
      </c>
    </row>
    <row r="539" spans="1:20" x14ac:dyDescent="0.3">
      <c r="A539" t="s">
        <v>836</v>
      </c>
      <c r="B539" s="1">
        <v>45747</v>
      </c>
      <c r="C539" s="1" t="s">
        <v>1323</v>
      </c>
      <c r="D539" t="s">
        <v>438</v>
      </c>
      <c r="E539" t="s">
        <v>77</v>
      </c>
      <c r="F539" t="s">
        <v>22</v>
      </c>
      <c r="G539" t="s">
        <v>39</v>
      </c>
      <c r="H539" t="s">
        <v>52</v>
      </c>
      <c r="I539">
        <v>0</v>
      </c>
      <c r="J539">
        <v>0</v>
      </c>
      <c r="K539">
        <v>0</v>
      </c>
      <c r="L539">
        <v>2588</v>
      </c>
      <c r="M539">
        <v>0</v>
      </c>
      <c r="N539">
        <v>695</v>
      </c>
      <c r="O539">
        <v>32</v>
      </c>
      <c r="P539" t="s">
        <v>32</v>
      </c>
      <c r="Q539">
        <v>2942008</v>
      </c>
      <c r="R539" t="s">
        <v>26</v>
      </c>
      <c r="S539" t="s">
        <v>71</v>
      </c>
      <c r="T539" t="s">
        <v>60</v>
      </c>
    </row>
    <row r="540" spans="1:20" x14ac:dyDescent="0.3">
      <c r="A540" t="s">
        <v>837</v>
      </c>
      <c r="B540" s="1">
        <v>45728</v>
      </c>
      <c r="C540" s="1" t="s">
        <v>1323</v>
      </c>
      <c r="D540" t="s">
        <v>578</v>
      </c>
      <c r="E540" t="s">
        <v>37</v>
      </c>
      <c r="F540" t="s">
        <v>38</v>
      </c>
      <c r="G540" t="s">
        <v>68</v>
      </c>
      <c r="H540" t="s">
        <v>52</v>
      </c>
      <c r="I540">
        <v>0</v>
      </c>
      <c r="J540">
        <v>0</v>
      </c>
      <c r="K540">
        <v>0</v>
      </c>
      <c r="L540">
        <v>39323</v>
      </c>
      <c r="M540">
        <v>0</v>
      </c>
      <c r="N540">
        <v>593</v>
      </c>
      <c r="O540">
        <v>48</v>
      </c>
      <c r="P540" t="s">
        <v>32</v>
      </c>
      <c r="Q540">
        <v>1844139</v>
      </c>
      <c r="R540" t="s">
        <v>49</v>
      </c>
      <c r="S540" t="s">
        <v>33</v>
      </c>
      <c r="T540" t="s">
        <v>60</v>
      </c>
    </row>
    <row r="541" spans="1:20" x14ac:dyDescent="0.3">
      <c r="A541" t="s">
        <v>838</v>
      </c>
      <c r="B541" s="1">
        <v>45908</v>
      </c>
      <c r="C541" s="1" t="s">
        <v>1329</v>
      </c>
      <c r="D541" t="s">
        <v>839</v>
      </c>
      <c r="E541" t="s">
        <v>21</v>
      </c>
      <c r="F541" t="s">
        <v>38</v>
      </c>
      <c r="G541" t="s">
        <v>23</v>
      </c>
      <c r="H541" t="s">
        <v>24</v>
      </c>
      <c r="I541">
        <v>0</v>
      </c>
      <c r="J541">
        <v>0</v>
      </c>
      <c r="K541">
        <v>0</v>
      </c>
      <c r="L541">
        <v>0</v>
      </c>
      <c r="M541">
        <v>9250</v>
      </c>
      <c r="N541">
        <v>624</v>
      </c>
      <c r="O541">
        <v>68</v>
      </c>
      <c r="P541" t="s">
        <v>32</v>
      </c>
      <c r="Q541">
        <v>513986</v>
      </c>
      <c r="R541" t="s">
        <v>26</v>
      </c>
      <c r="S541" t="s">
        <v>27</v>
      </c>
      <c r="T541" t="s">
        <v>45</v>
      </c>
    </row>
    <row r="542" spans="1:20" x14ac:dyDescent="0.3">
      <c r="A542" t="s">
        <v>840</v>
      </c>
      <c r="B542" s="1">
        <v>46005</v>
      </c>
      <c r="C542" s="1" t="s">
        <v>1332</v>
      </c>
      <c r="D542" t="s">
        <v>808</v>
      </c>
      <c r="E542" t="s">
        <v>48</v>
      </c>
      <c r="F542" t="s">
        <v>44</v>
      </c>
      <c r="G542" t="s">
        <v>39</v>
      </c>
      <c r="H542" t="s">
        <v>40</v>
      </c>
      <c r="I542">
        <v>0</v>
      </c>
      <c r="J542">
        <v>79696</v>
      </c>
      <c r="K542">
        <v>0</v>
      </c>
      <c r="L542">
        <v>0</v>
      </c>
      <c r="M542">
        <v>0</v>
      </c>
      <c r="N542">
        <v>504</v>
      </c>
      <c r="O542">
        <v>18</v>
      </c>
      <c r="P542" t="s">
        <v>25</v>
      </c>
      <c r="Q542">
        <v>2969634</v>
      </c>
      <c r="R542" t="s">
        <v>26</v>
      </c>
      <c r="S542" t="s">
        <v>27</v>
      </c>
      <c r="T542" t="s">
        <v>60</v>
      </c>
    </row>
    <row r="543" spans="1:20" x14ac:dyDescent="0.3">
      <c r="A543" t="s">
        <v>841</v>
      </c>
      <c r="B543" s="1">
        <v>45672</v>
      </c>
      <c r="C543" s="1" t="s">
        <v>1321</v>
      </c>
      <c r="D543" t="s">
        <v>242</v>
      </c>
      <c r="E543" t="s">
        <v>77</v>
      </c>
      <c r="F543" t="s">
        <v>21</v>
      </c>
      <c r="G543" t="s">
        <v>39</v>
      </c>
      <c r="H543" t="s">
        <v>40</v>
      </c>
      <c r="I543">
        <v>0</v>
      </c>
      <c r="J543">
        <v>25594</v>
      </c>
      <c r="K543">
        <v>0</v>
      </c>
      <c r="L543">
        <v>0</v>
      </c>
      <c r="M543">
        <v>0</v>
      </c>
      <c r="N543">
        <v>693</v>
      </c>
      <c r="O543">
        <v>69</v>
      </c>
      <c r="P543" t="s">
        <v>25</v>
      </c>
      <c r="Q543">
        <v>2183610</v>
      </c>
      <c r="R543" t="s">
        <v>49</v>
      </c>
      <c r="S543" t="s">
        <v>27</v>
      </c>
      <c r="T543" t="s">
        <v>45</v>
      </c>
    </row>
    <row r="544" spans="1:20" x14ac:dyDescent="0.3">
      <c r="A544" t="s">
        <v>842</v>
      </c>
      <c r="B544" s="1">
        <v>45992</v>
      </c>
      <c r="C544" s="1" t="s">
        <v>1332</v>
      </c>
      <c r="D544" t="s">
        <v>588</v>
      </c>
      <c r="E544" t="s">
        <v>63</v>
      </c>
      <c r="F544" t="s">
        <v>64</v>
      </c>
      <c r="G544" t="s">
        <v>59</v>
      </c>
      <c r="H544" t="s">
        <v>52</v>
      </c>
      <c r="I544">
        <v>0</v>
      </c>
      <c r="J544">
        <v>0</v>
      </c>
      <c r="K544">
        <v>0</v>
      </c>
      <c r="L544">
        <v>4434</v>
      </c>
      <c r="M544">
        <v>0</v>
      </c>
      <c r="N544">
        <v>516</v>
      </c>
      <c r="O544">
        <v>66</v>
      </c>
      <c r="P544" t="s">
        <v>25</v>
      </c>
      <c r="Q544">
        <v>522901</v>
      </c>
      <c r="R544" t="s">
        <v>26</v>
      </c>
      <c r="S544" t="s">
        <v>71</v>
      </c>
      <c r="T544" t="s">
        <v>41</v>
      </c>
    </row>
    <row r="545" spans="1:20" x14ac:dyDescent="0.3">
      <c r="A545" t="s">
        <v>843</v>
      </c>
      <c r="B545" s="1">
        <v>45891</v>
      </c>
      <c r="C545" s="1" t="s">
        <v>1328</v>
      </c>
      <c r="D545" t="s">
        <v>235</v>
      </c>
      <c r="E545" t="s">
        <v>63</v>
      </c>
      <c r="F545" t="s">
        <v>21</v>
      </c>
      <c r="G545" t="s">
        <v>23</v>
      </c>
      <c r="H545" t="s">
        <v>31</v>
      </c>
      <c r="I545">
        <v>0</v>
      </c>
      <c r="J545">
        <v>0</v>
      </c>
      <c r="K545">
        <v>1340503</v>
      </c>
      <c r="L545">
        <v>0</v>
      </c>
      <c r="M545">
        <v>0</v>
      </c>
      <c r="N545">
        <v>710</v>
      </c>
      <c r="O545">
        <v>64</v>
      </c>
      <c r="P545" t="s">
        <v>25</v>
      </c>
      <c r="Q545">
        <v>1097128</v>
      </c>
      <c r="R545" t="s">
        <v>49</v>
      </c>
      <c r="S545" t="s">
        <v>65</v>
      </c>
      <c r="T545" t="s">
        <v>60</v>
      </c>
    </row>
    <row r="546" spans="1:20" x14ac:dyDescent="0.3">
      <c r="A546" t="s">
        <v>844</v>
      </c>
      <c r="B546" s="1">
        <v>45679</v>
      </c>
      <c r="C546" s="1" t="s">
        <v>1321</v>
      </c>
      <c r="D546" t="s">
        <v>378</v>
      </c>
      <c r="E546" t="s">
        <v>21</v>
      </c>
      <c r="F546" t="s">
        <v>64</v>
      </c>
      <c r="G546" t="s">
        <v>39</v>
      </c>
      <c r="H546" t="s">
        <v>40</v>
      </c>
      <c r="I546">
        <v>0</v>
      </c>
      <c r="J546">
        <v>48202</v>
      </c>
      <c r="K546">
        <v>0</v>
      </c>
      <c r="L546">
        <v>0</v>
      </c>
      <c r="M546">
        <v>0</v>
      </c>
      <c r="N546">
        <v>663</v>
      </c>
      <c r="O546">
        <v>56</v>
      </c>
      <c r="P546" t="s">
        <v>32</v>
      </c>
      <c r="Q546">
        <v>1772461</v>
      </c>
      <c r="R546" t="s">
        <v>26</v>
      </c>
      <c r="S546" t="s">
        <v>27</v>
      </c>
      <c r="T546" t="s">
        <v>34</v>
      </c>
    </row>
    <row r="547" spans="1:20" x14ac:dyDescent="0.3">
      <c r="A547" t="s">
        <v>845</v>
      </c>
      <c r="B547" s="1">
        <v>45750</v>
      </c>
      <c r="C547" s="1" t="s">
        <v>1324</v>
      </c>
      <c r="D547" t="s">
        <v>846</v>
      </c>
      <c r="E547" t="s">
        <v>37</v>
      </c>
      <c r="F547" t="s">
        <v>44</v>
      </c>
      <c r="G547" t="s">
        <v>59</v>
      </c>
      <c r="H547" t="s">
        <v>24</v>
      </c>
      <c r="I547">
        <v>0</v>
      </c>
      <c r="J547">
        <v>0</v>
      </c>
      <c r="K547">
        <v>0</v>
      </c>
      <c r="L547">
        <v>0</v>
      </c>
      <c r="M547">
        <v>4846.22</v>
      </c>
      <c r="N547">
        <v>692</v>
      </c>
      <c r="O547">
        <v>65</v>
      </c>
      <c r="P547" t="s">
        <v>25</v>
      </c>
      <c r="Q547">
        <v>2163402</v>
      </c>
      <c r="R547" t="s">
        <v>49</v>
      </c>
      <c r="S547" t="s">
        <v>27</v>
      </c>
      <c r="T547" t="s">
        <v>45</v>
      </c>
    </row>
    <row r="548" spans="1:20" x14ac:dyDescent="0.3">
      <c r="A548" t="s">
        <v>847</v>
      </c>
      <c r="B548" s="1">
        <v>45660</v>
      </c>
      <c r="C548" s="1" t="s">
        <v>1321</v>
      </c>
      <c r="D548" t="s">
        <v>229</v>
      </c>
      <c r="E548" t="s">
        <v>37</v>
      </c>
      <c r="F548" t="s">
        <v>64</v>
      </c>
      <c r="G548" t="s">
        <v>23</v>
      </c>
      <c r="H548" t="s">
        <v>31</v>
      </c>
      <c r="I548">
        <v>0</v>
      </c>
      <c r="J548">
        <v>0</v>
      </c>
      <c r="K548">
        <v>745191</v>
      </c>
      <c r="L548">
        <v>0</v>
      </c>
      <c r="M548">
        <v>0</v>
      </c>
      <c r="N548">
        <v>853</v>
      </c>
      <c r="O548">
        <v>39</v>
      </c>
      <c r="P548" t="s">
        <v>32</v>
      </c>
      <c r="Q548">
        <v>2884620</v>
      </c>
      <c r="R548" t="s">
        <v>26</v>
      </c>
      <c r="S548" t="s">
        <v>33</v>
      </c>
      <c r="T548" t="s">
        <v>45</v>
      </c>
    </row>
    <row r="549" spans="1:20" x14ac:dyDescent="0.3">
      <c r="A549" t="s">
        <v>848</v>
      </c>
      <c r="B549" s="1">
        <v>45748</v>
      </c>
      <c r="C549" s="1" t="s">
        <v>1324</v>
      </c>
      <c r="D549" t="s">
        <v>582</v>
      </c>
      <c r="E549" t="s">
        <v>48</v>
      </c>
      <c r="F549" t="s">
        <v>21</v>
      </c>
      <c r="G549" t="s">
        <v>68</v>
      </c>
      <c r="H549" t="s">
        <v>52</v>
      </c>
      <c r="I549">
        <v>0</v>
      </c>
      <c r="J549">
        <v>0</v>
      </c>
      <c r="K549">
        <v>0</v>
      </c>
      <c r="L549">
        <v>4689</v>
      </c>
      <c r="M549">
        <v>0</v>
      </c>
      <c r="N549">
        <v>573</v>
      </c>
      <c r="O549">
        <v>64</v>
      </c>
      <c r="P549" t="s">
        <v>32</v>
      </c>
      <c r="Q549">
        <v>1150659</v>
      </c>
      <c r="R549" t="s">
        <v>26</v>
      </c>
      <c r="S549" t="s">
        <v>74</v>
      </c>
      <c r="T549" t="s">
        <v>60</v>
      </c>
    </row>
    <row r="550" spans="1:20" x14ac:dyDescent="0.3">
      <c r="A550" t="s">
        <v>849</v>
      </c>
      <c r="B550" s="1">
        <v>45953</v>
      </c>
      <c r="C550" s="1" t="s">
        <v>1330</v>
      </c>
      <c r="D550" t="s">
        <v>140</v>
      </c>
      <c r="E550" t="s">
        <v>37</v>
      </c>
      <c r="F550" t="s">
        <v>64</v>
      </c>
      <c r="G550" t="s">
        <v>59</v>
      </c>
      <c r="H550" t="s">
        <v>24</v>
      </c>
      <c r="I550">
        <v>0</v>
      </c>
      <c r="J550">
        <v>0</v>
      </c>
      <c r="K550">
        <v>0</v>
      </c>
      <c r="L550">
        <v>0</v>
      </c>
      <c r="M550">
        <v>3967.18</v>
      </c>
      <c r="N550">
        <v>372</v>
      </c>
      <c r="O550">
        <v>42</v>
      </c>
      <c r="P550" t="s">
        <v>32</v>
      </c>
      <c r="Q550">
        <v>846626</v>
      </c>
      <c r="R550" t="s">
        <v>26</v>
      </c>
      <c r="S550" t="s">
        <v>27</v>
      </c>
      <c r="T550" t="s">
        <v>41</v>
      </c>
    </row>
    <row r="551" spans="1:20" x14ac:dyDescent="0.3">
      <c r="A551" t="s">
        <v>850</v>
      </c>
      <c r="B551" s="1">
        <v>45976</v>
      </c>
      <c r="C551" s="1" t="s">
        <v>1331</v>
      </c>
      <c r="D551" t="s">
        <v>851</v>
      </c>
      <c r="E551" t="s">
        <v>21</v>
      </c>
      <c r="F551" t="s">
        <v>64</v>
      </c>
      <c r="G551" t="s">
        <v>23</v>
      </c>
      <c r="H551" t="s">
        <v>52</v>
      </c>
      <c r="I551">
        <v>0</v>
      </c>
      <c r="J551">
        <v>0</v>
      </c>
      <c r="K551">
        <v>0</v>
      </c>
      <c r="L551">
        <v>7172</v>
      </c>
      <c r="M551">
        <v>0</v>
      </c>
      <c r="N551">
        <v>533</v>
      </c>
      <c r="O551">
        <v>23</v>
      </c>
      <c r="P551" t="s">
        <v>25</v>
      </c>
      <c r="Q551">
        <v>1244043</v>
      </c>
      <c r="R551" t="s">
        <v>49</v>
      </c>
      <c r="S551" t="s">
        <v>71</v>
      </c>
      <c r="T551" t="s">
        <v>45</v>
      </c>
    </row>
    <row r="552" spans="1:20" x14ac:dyDescent="0.3">
      <c r="A552" t="s">
        <v>852</v>
      </c>
      <c r="B552" s="1">
        <v>45920</v>
      </c>
      <c r="C552" s="1" t="s">
        <v>1329</v>
      </c>
      <c r="D552" t="s">
        <v>233</v>
      </c>
      <c r="E552" t="s">
        <v>48</v>
      </c>
      <c r="F552" t="s">
        <v>22</v>
      </c>
      <c r="G552" t="s">
        <v>23</v>
      </c>
      <c r="H552" t="s">
        <v>31</v>
      </c>
      <c r="I552">
        <v>0</v>
      </c>
      <c r="J552">
        <v>0</v>
      </c>
      <c r="K552">
        <v>1547673</v>
      </c>
      <c r="L552">
        <v>0</v>
      </c>
      <c r="M552">
        <v>0</v>
      </c>
      <c r="N552">
        <v>467</v>
      </c>
      <c r="O552">
        <v>34</v>
      </c>
      <c r="P552" t="s">
        <v>25</v>
      </c>
      <c r="Q552">
        <v>1741350</v>
      </c>
      <c r="R552" t="s">
        <v>26</v>
      </c>
      <c r="S552" t="s">
        <v>65</v>
      </c>
      <c r="T552" t="s">
        <v>34</v>
      </c>
    </row>
    <row r="553" spans="1:20" x14ac:dyDescent="0.3">
      <c r="A553" t="s">
        <v>853</v>
      </c>
      <c r="B553" s="1">
        <v>45867</v>
      </c>
      <c r="C553" s="1" t="s">
        <v>1327</v>
      </c>
      <c r="D553" t="s">
        <v>231</v>
      </c>
      <c r="E553" t="s">
        <v>37</v>
      </c>
      <c r="F553" t="s">
        <v>64</v>
      </c>
      <c r="G553" t="s">
        <v>39</v>
      </c>
      <c r="H553" t="s">
        <v>52</v>
      </c>
      <c r="I553">
        <v>0</v>
      </c>
      <c r="J553">
        <v>0</v>
      </c>
      <c r="K553">
        <v>0</v>
      </c>
      <c r="L553">
        <v>11217</v>
      </c>
      <c r="M553">
        <v>0</v>
      </c>
      <c r="N553">
        <v>736</v>
      </c>
      <c r="O553">
        <v>55</v>
      </c>
      <c r="P553" t="s">
        <v>25</v>
      </c>
      <c r="Q553">
        <v>1867103</v>
      </c>
      <c r="R553" t="s">
        <v>26</v>
      </c>
      <c r="S553" t="s">
        <v>33</v>
      </c>
      <c r="T553" t="s">
        <v>41</v>
      </c>
    </row>
    <row r="554" spans="1:20" x14ac:dyDescent="0.3">
      <c r="A554" t="s">
        <v>854</v>
      </c>
      <c r="B554" s="1">
        <v>45906</v>
      </c>
      <c r="C554" s="1" t="s">
        <v>1329</v>
      </c>
      <c r="D554" t="s">
        <v>464</v>
      </c>
      <c r="E554" t="s">
        <v>48</v>
      </c>
      <c r="F554" t="s">
        <v>21</v>
      </c>
      <c r="G554" t="s">
        <v>39</v>
      </c>
      <c r="H554" t="s">
        <v>31</v>
      </c>
      <c r="I554">
        <v>0</v>
      </c>
      <c r="J554">
        <v>0</v>
      </c>
      <c r="K554">
        <v>1556154</v>
      </c>
      <c r="L554">
        <v>0</v>
      </c>
      <c r="M554">
        <v>0</v>
      </c>
      <c r="N554">
        <v>841</v>
      </c>
      <c r="O554">
        <v>34</v>
      </c>
      <c r="P554" t="s">
        <v>25</v>
      </c>
      <c r="Q554">
        <v>892695</v>
      </c>
      <c r="R554" t="s">
        <v>26</v>
      </c>
      <c r="S554" t="s">
        <v>33</v>
      </c>
      <c r="T554" t="s">
        <v>41</v>
      </c>
    </row>
    <row r="555" spans="1:20" x14ac:dyDescent="0.3">
      <c r="A555" t="s">
        <v>855</v>
      </c>
      <c r="B555" s="1">
        <v>45883</v>
      </c>
      <c r="C555" s="1" t="s">
        <v>1328</v>
      </c>
      <c r="D555" t="s">
        <v>580</v>
      </c>
      <c r="E555" t="s">
        <v>48</v>
      </c>
      <c r="F555" t="s">
        <v>21</v>
      </c>
      <c r="G555" t="s">
        <v>59</v>
      </c>
      <c r="H555" t="s">
        <v>24</v>
      </c>
      <c r="I555">
        <v>0</v>
      </c>
      <c r="J555">
        <v>0</v>
      </c>
      <c r="K555">
        <v>0</v>
      </c>
      <c r="L555">
        <v>0</v>
      </c>
      <c r="M555">
        <v>5450.2</v>
      </c>
      <c r="N555">
        <v>850</v>
      </c>
      <c r="O555">
        <v>29</v>
      </c>
      <c r="P555" t="s">
        <v>32</v>
      </c>
      <c r="Q555">
        <v>2525790</v>
      </c>
      <c r="R555" t="s">
        <v>26</v>
      </c>
      <c r="S555" t="s">
        <v>27</v>
      </c>
      <c r="T555" t="s">
        <v>60</v>
      </c>
    </row>
    <row r="556" spans="1:20" x14ac:dyDescent="0.3">
      <c r="A556" t="s">
        <v>856</v>
      </c>
      <c r="B556" s="1">
        <v>45758</v>
      </c>
      <c r="C556" s="1" t="s">
        <v>1324</v>
      </c>
      <c r="D556" t="s">
        <v>150</v>
      </c>
      <c r="E556" t="s">
        <v>37</v>
      </c>
      <c r="F556" t="s">
        <v>22</v>
      </c>
      <c r="G556" t="s">
        <v>59</v>
      </c>
      <c r="H556" t="s">
        <v>52</v>
      </c>
      <c r="I556">
        <v>0</v>
      </c>
      <c r="J556">
        <v>0</v>
      </c>
      <c r="K556">
        <v>0</v>
      </c>
      <c r="L556">
        <v>13918</v>
      </c>
      <c r="M556">
        <v>0</v>
      </c>
      <c r="N556">
        <v>360</v>
      </c>
      <c r="O556">
        <v>57</v>
      </c>
      <c r="P556" t="s">
        <v>25</v>
      </c>
      <c r="Q556">
        <v>2515450</v>
      </c>
      <c r="R556" t="s">
        <v>49</v>
      </c>
      <c r="S556" t="s">
        <v>33</v>
      </c>
      <c r="T556" t="s">
        <v>34</v>
      </c>
    </row>
    <row r="557" spans="1:20" x14ac:dyDescent="0.3">
      <c r="A557" t="s">
        <v>857</v>
      </c>
      <c r="B557" s="1">
        <v>45977</v>
      </c>
      <c r="C557" s="1" t="s">
        <v>1331</v>
      </c>
      <c r="D557" t="s">
        <v>36</v>
      </c>
      <c r="E557" t="s">
        <v>37</v>
      </c>
      <c r="F557" t="s">
        <v>22</v>
      </c>
      <c r="G557" t="s">
        <v>23</v>
      </c>
      <c r="H557" t="s">
        <v>56</v>
      </c>
      <c r="I557">
        <v>80615</v>
      </c>
      <c r="J557">
        <v>0</v>
      </c>
      <c r="K557">
        <v>0</v>
      </c>
      <c r="L557">
        <v>0</v>
      </c>
      <c r="M557">
        <v>0</v>
      </c>
      <c r="N557">
        <v>432</v>
      </c>
      <c r="O557">
        <v>65</v>
      </c>
      <c r="P557" t="s">
        <v>32</v>
      </c>
      <c r="Q557">
        <v>705520</v>
      </c>
      <c r="R557" t="s">
        <v>49</v>
      </c>
      <c r="S557" t="s">
        <v>27</v>
      </c>
      <c r="T557" t="s">
        <v>45</v>
      </c>
    </row>
    <row r="558" spans="1:20" x14ac:dyDescent="0.3">
      <c r="A558" t="s">
        <v>858</v>
      </c>
      <c r="B558" s="1">
        <v>45690</v>
      </c>
      <c r="C558" s="1" t="s">
        <v>1322</v>
      </c>
      <c r="D558" t="s">
        <v>518</v>
      </c>
      <c r="E558" t="s">
        <v>37</v>
      </c>
      <c r="F558" t="s">
        <v>44</v>
      </c>
      <c r="G558" t="s">
        <v>59</v>
      </c>
      <c r="H558" t="s">
        <v>24</v>
      </c>
      <c r="I558">
        <v>0</v>
      </c>
      <c r="J558">
        <v>0</v>
      </c>
      <c r="K558">
        <v>0</v>
      </c>
      <c r="L558">
        <v>0</v>
      </c>
      <c r="M558">
        <v>8379.68</v>
      </c>
      <c r="N558">
        <v>699</v>
      </c>
      <c r="O558">
        <v>62</v>
      </c>
      <c r="P558" t="s">
        <v>25</v>
      </c>
      <c r="Q558">
        <v>883494</v>
      </c>
      <c r="R558" t="s">
        <v>26</v>
      </c>
      <c r="S558" t="s">
        <v>27</v>
      </c>
      <c r="T558" t="s">
        <v>41</v>
      </c>
    </row>
    <row r="559" spans="1:20" x14ac:dyDescent="0.3">
      <c r="A559" t="s">
        <v>859</v>
      </c>
      <c r="B559" s="1">
        <v>45914</v>
      </c>
      <c r="C559" s="1" t="s">
        <v>1329</v>
      </c>
      <c r="D559" t="s">
        <v>695</v>
      </c>
      <c r="E559" t="s">
        <v>37</v>
      </c>
      <c r="F559" t="s">
        <v>21</v>
      </c>
      <c r="G559" t="s">
        <v>68</v>
      </c>
      <c r="H559" t="s">
        <v>56</v>
      </c>
      <c r="I559">
        <v>87849</v>
      </c>
      <c r="J559">
        <v>0</v>
      </c>
      <c r="K559">
        <v>0</v>
      </c>
      <c r="L559">
        <v>0</v>
      </c>
      <c r="M559">
        <v>0</v>
      </c>
      <c r="N559">
        <v>826</v>
      </c>
      <c r="O559">
        <v>38</v>
      </c>
      <c r="P559" t="s">
        <v>25</v>
      </c>
      <c r="Q559">
        <v>2845893</v>
      </c>
      <c r="R559" t="s">
        <v>26</v>
      </c>
      <c r="S559" t="s">
        <v>27</v>
      </c>
      <c r="T559" t="s">
        <v>60</v>
      </c>
    </row>
    <row r="560" spans="1:20" x14ac:dyDescent="0.3">
      <c r="A560" t="s">
        <v>860</v>
      </c>
      <c r="B560" s="1">
        <v>45781</v>
      </c>
      <c r="C560" s="1" t="s">
        <v>1325</v>
      </c>
      <c r="D560" t="s">
        <v>157</v>
      </c>
      <c r="E560" t="s">
        <v>48</v>
      </c>
      <c r="F560" t="s">
        <v>38</v>
      </c>
      <c r="G560" t="s">
        <v>68</v>
      </c>
      <c r="H560" t="s">
        <v>31</v>
      </c>
      <c r="I560">
        <v>0</v>
      </c>
      <c r="J560">
        <v>0</v>
      </c>
      <c r="K560">
        <v>1391813</v>
      </c>
      <c r="L560">
        <v>0</v>
      </c>
      <c r="M560">
        <v>0</v>
      </c>
      <c r="N560">
        <v>363</v>
      </c>
      <c r="O560">
        <v>67</v>
      </c>
      <c r="P560" t="s">
        <v>25</v>
      </c>
      <c r="Q560">
        <v>1501939</v>
      </c>
      <c r="R560" t="s">
        <v>49</v>
      </c>
      <c r="S560" t="s">
        <v>65</v>
      </c>
      <c r="T560" t="s">
        <v>60</v>
      </c>
    </row>
    <row r="561" spans="1:20" x14ac:dyDescent="0.3">
      <c r="A561" t="s">
        <v>861</v>
      </c>
      <c r="B561" s="1">
        <v>45678</v>
      </c>
      <c r="C561" s="1" t="s">
        <v>1321</v>
      </c>
      <c r="D561" t="s">
        <v>231</v>
      </c>
      <c r="E561" t="s">
        <v>48</v>
      </c>
      <c r="F561" t="s">
        <v>21</v>
      </c>
      <c r="G561" t="s">
        <v>23</v>
      </c>
      <c r="H561" t="s">
        <v>40</v>
      </c>
      <c r="I561">
        <v>0</v>
      </c>
      <c r="J561">
        <v>94702</v>
      </c>
      <c r="K561">
        <v>0</v>
      </c>
      <c r="L561">
        <v>0</v>
      </c>
      <c r="M561">
        <v>0</v>
      </c>
      <c r="N561">
        <v>490</v>
      </c>
      <c r="O561">
        <v>58</v>
      </c>
      <c r="P561" t="s">
        <v>32</v>
      </c>
      <c r="Q561">
        <v>1315963</v>
      </c>
      <c r="R561" t="s">
        <v>49</v>
      </c>
      <c r="S561" t="s">
        <v>27</v>
      </c>
      <c r="T561" t="s">
        <v>45</v>
      </c>
    </row>
    <row r="562" spans="1:20" x14ac:dyDescent="0.3">
      <c r="A562" t="s">
        <v>862</v>
      </c>
      <c r="B562" s="1">
        <v>45941</v>
      </c>
      <c r="C562" s="1" t="s">
        <v>1330</v>
      </c>
      <c r="D562" t="s">
        <v>863</v>
      </c>
      <c r="E562" t="s">
        <v>63</v>
      </c>
      <c r="F562" t="s">
        <v>64</v>
      </c>
      <c r="G562" t="s">
        <v>39</v>
      </c>
      <c r="H562" t="s">
        <v>56</v>
      </c>
      <c r="I562">
        <v>169610</v>
      </c>
      <c r="J562">
        <v>0</v>
      </c>
      <c r="K562">
        <v>0</v>
      </c>
      <c r="L562">
        <v>0</v>
      </c>
      <c r="M562">
        <v>0</v>
      </c>
      <c r="N562">
        <v>872</v>
      </c>
      <c r="O562">
        <v>70</v>
      </c>
      <c r="P562" t="s">
        <v>25</v>
      </c>
      <c r="Q562">
        <v>907221</v>
      </c>
      <c r="R562" t="s">
        <v>26</v>
      </c>
      <c r="S562" t="s">
        <v>27</v>
      </c>
      <c r="T562" t="s">
        <v>28</v>
      </c>
    </row>
    <row r="563" spans="1:20" x14ac:dyDescent="0.3">
      <c r="A563" t="s">
        <v>864</v>
      </c>
      <c r="B563" s="1">
        <v>45825</v>
      </c>
      <c r="C563" s="1" t="s">
        <v>1326</v>
      </c>
      <c r="D563" t="s">
        <v>656</v>
      </c>
      <c r="E563" t="s">
        <v>48</v>
      </c>
      <c r="F563" t="s">
        <v>22</v>
      </c>
      <c r="G563" t="s">
        <v>39</v>
      </c>
      <c r="H563" t="s">
        <v>52</v>
      </c>
      <c r="I563">
        <v>0</v>
      </c>
      <c r="J563">
        <v>0</v>
      </c>
      <c r="K563">
        <v>0</v>
      </c>
      <c r="L563">
        <v>30263</v>
      </c>
      <c r="M563">
        <v>0</v>
      </c>
      <c r="N563">
        <v>431</v>
      </c>
      <c r="O563">
        <v>55</v>
      </c>
      <c r="P563" t="s">
        <v>25</v>
      </c>
      <c r="Q563">
        <v>582704</v>
      </c>
      <c r="R563" t="s">
        <v>49</v>
      </c>
      <c r="S563" t="s">
        <v>74</v>
      </c>
      <c r="T563" t="s">
        <v>45</v>
      </c>
    </row>
    <row r="564" spans="1:20" x14ac:dyDescent="0.3">
      <c r="A564" t="s">
        <v>865</v>
      </c>
      <c r="B564" s="1">
        <v>45733</v>
      </c>
      <c r="C564" s="1" t="s">
        <v>1323</v>
      </c>
      <c r="D564" t="s">
        <v>270</v>
      </c>
      <c r="E564" t="s">
        <v>37</v>
      </c>
      <c r="F564" t="s">
        <v>44</v>
      </c>
      <c r="G564" t="s">
        <v>39</v>
      </c>
      <c r="H564" t="s">
        <v>24</v>
      </c>
      <c r="I564">
        <v>0</v>
      </c>
      <c r="J564">
        <v>0</v>
      </c>
      <c r="K564">
        <v>0</v>
      </c>
      <c r="L564">
        <v>0</v>
      </c>
      <c r="M564">
        <v>5995.07</v>
      </c>
      <c r="N564">
        <v>677</v>
      </c>
      <c r="O564">
        <v>26</v>
      </c>
      <c r="P564" t="s">
        <v>32</v>
      </c>
      <c r="Q564">
        <v>2379858</v>
      </c>
      <c r="R564" t="s">
        <v>49</v>
      </c>
      <c r="S564" t="s">
        <v>27</v>
      </c>
      <c r="T564" t="s">
        <v>41</v>
      </c>
    </row>
    <row r="565" spans="1:20" x14ac:dyDescent="0.3">
      <c r="A565" t="s">
        <v>866</v>
      </c>
      <c r="B565" s="1">
        <v>45880</v>
      </c>
      <c r="C565" s="1" t="s">
        <v>1328</v>
      </c>
      <c r="D565" t="s">
        <v>486</v>
      </c>
      <c r="E565" t="s">
        <v>21</v>
      </c>
      <c r="F565" t="s">
        <v>64</v>
      </c>
      <c r="G565" t="s">
        <v>68</v>
      </c>
      <c r="H565" t="s">
        <v>31</v>
      </c>
      <c r="I565">
        <v>0</v>
      </c>
      <c r="J565">
        <v>0</v>
      </c>
      <c r="K565">
        <v>1041559</v>
      </c>
      <c r="L565">
        <v>0</v>
      </c>
      <c r="M565">
        <v>0</v>
      </c>
      <c r="N565">
        <v>861</v>
      </c>
      <c r="O565">
        <v>49</v>
      </c>
      <c r="P565" t="s">
        <v>25</v>
      </c>
      <c r="Q565">
        <v>2027906</v>
      </c>
      <c r="R565" t="s">
        <v>49</v>
      </c>
      <c r="S565" t="s">
        <v>33</v>
      </c>
      <c r="T565" t="s">
        <v>34</v>
      </c>
    </row>
    <row r="566" spans="1:20" x14ac:dyDescent="0.3">
      <c r="A566" t="s">
        <v>867</v>
      </c>
      <c r="B566" s="1">
        <v>45677</v>
      </c>
      <c r="C566" s="1" t="s">
        <v>1321</v>
      </c>
      <c r="D566" t="s">
        <v>308</v>
      </c>
      <c r="E566" t="s">
        <v>37</v>
      </c>
      <c r="F566" t="s">
        <v>38</v>
      </c>
      <c r="G566" t="s">
        <v>39</v>
      </c>
      <c r="H566" t="s">
        <v>56</v>
      </c>
      <c r="I566">
        <v>133835</v>
      </c>
      <c r="J566">
        <v>0</v>
      </c>
      <c r="K566">
        <v>0</v>
      </c>
      <c r="L566">
        <v>0</v>
      </c>
      <c r="M566">
        <v>0</v>
      </c>
      <c r="N566">
        <v>647</v>
      </c>
      <c r="O566">
        <v>45</v>
      </c>
      <c r="P566" t="s">
        <v>32</v>
      </c>
      <c r="Q566">
        <v>755829</v>
      </c>
      <c r="R566" t="s">
        <v>49</v>
      </c>
      <c r="S566" t="s">
        <v>27</v>
      </c>
      <c r="T566" t="s">
        <v>41</v>
      </c>
    </row>
    <row r="567" spans="1:20" x14ac:dyDescent="0.3">
      <c r="A567" t="s">
        <v>868</v>
      </c>
      <c r="B567" s="1">
        <v>45901</v>
      </c>
      <c r="C567" s="1" t="s">
        <v>1329</v>
      </c>
      <c r="D567" t="s">
        <v>328</v>
      </c>
      <c r="E567" t="s">
        <v>55</v>
      </c>
      <c r="F567" t="s">
        <v>44</v>
      </c>
      <c r="G567" t="s">
        <v>68</v>
      </c>
      <c r="H567" t="s">
        <v>40</v>
      </c>
      <c r="I567">
        <v>0</v>
      </c>
      <c r="J567">
        <v>57895</v>
      </c>
      <c r="K567">
        <v>0</v>
      </c>
      <c r="L567">
        <v>0</v>
      </c>
      <c r="M567">
        <v>0</v>
      </c>
      <c r="N567">
        <v>570</v>
      </c>
      <c r="O567">
        <v>64</v>
      </c>
      <c r="P567" t="s">
        <v>32</v>
      </c>
      <c r="Q567">
        <v>1722175</v>
      </c>
      <c r="R567" t="s">
        <v>49</v>
      </c>
      <c r="S567" t="s">
        <v>27</v>
      </c>
      <c r="T567" t="s">
        <v>60</v>
      </c>
    </row>
    <row r="568" spans="1:20" x14ac:dyDescent="0.3">
      <c r="A568" t="s">
        <v>869</v>
      </c>
      <c r="B568" s="1">
        <v>45914</v>
      </c>
      <c r="C568" s="1" t="s">
        <v>1329</v>
      </c>
      <c r="D568" t="s">
        <v>784</v>
      </c>
      <c r="E568" t="s">
        <v>37</v>
      </c>
      <c r="F568" t="s">
        <v>64</v>
      </c>
      <c r="G568" t="s">
        <v>39</v>
      </c>
      <c r="H568" t="s">
        <v>24</v>
      </c>
      <c r="I568">
        <v>0</v>
      </c>
      <c r="J568">
        <v>0</v>
      </c>
      <c r="K568">
        <v>0</v>
      </c>
      <c r="L568">
        <v>0</v>
      </c>
      <c r="M568">
        <v>4155.58</v>
      </c>
      <c r="N568">
        <v>808</v>
      </c>
      <c r="O568">
        <v>31</v>
      </c>
      <c r="P568" t="s">
        <v>32</v>
      </c>
      <c r="Q568">
        <v>2483487</v>
      </c>
      <c r="R568" t="s">
        <v>49</v>
      </c>
      <c r="S568" t="s">
        <v>27</v>
      </c>
      <c r="T568" t="s">
        <v>60</v>
      </c>
    </row>
    <row r="569" spans="1:20" x14ac:dyDescent="0.3">
      <c r="A569" t="s">
        <v>870</v>
      </c>
      <c r="B569" s="1">
        <v>45852</v>
      </c>
      <c r="C569" s="1" t="s">
        <v>1327</v>
      </c>
      <c r="D569" t="s">
        <v>134</v>
      </c>
      <c r="E569" t="s">
        <v>55</v>
      </c>
      <c r="F569" t="s">
        <v>64</v>
      </c>
      <c r="G569" t="s">
        <v>59</v>
      </c>
      <c r="H569" t="s">
        <v>56</v>
      </c>
      <c r="I569">
        <v>110985</v>
      </c>
      <c r="J569">
        <v>0</v>
      </c>
      <c r="K569">
        <v>0</v>
      </c>
      <c r="L569">
        <v>0</v>
      </c>
      <c r="M569">
        <v>0</v>
      </c>
      <c r="N569">
        <v>649</v>
      </c>
      <c r="O569">
        <v>18</v>
      </c>
      <c r="P569" t="s">
        <v>32</v>
      </c>
      <c r="Q569">
        <v>1759399</v>
      </c>
      <c r="R569" t="s">
        <v>26</v>
      </c>
      <c r="S569" t="s">
        <v>27</v>
      </c>
      <c r="T569" t="s">
        <v>28</v>
      </c>
    </row>
    <row r="570" spans="1:20" x14ac:dyDescent="0.3">
      <c r="A570" t="s">
        <v>871</v>
      </c>
      <c r="B570" s="1">
        <v>45675</v>
      </c>
      <c r="C570" s="1" t="s">
        <v>1321</v>
      </c>
      <c r="D570" t="s">
        <v>499</v>
      </c>
      <c r="E570" t="s">
        <v>77</v>
      </c>
      <c r="F570" t="s">
        <v>21</v>
      </c>
      <c r="G570" t="s">
        <v>23</v>
      </c>
      <c r="H570" t="s">
        <v>31</v>
      </c>
      <c r="I570">
        <v>0</v>
      </c>
      <c r="J570">
        <v>0</v>
      </c>
      <c r="K570">
        <v>1332776</v>
      </c>
      <c r="L570">
        <v>0</v>
      </c>
      <c r="M570">
        <v>0</v>
      </c>
      <c r="N570">
        <v>697</v>
      </c>
      <c r="O570">
        <v>19</v>
      </c>
      <c r="P570" t="s">
        <v>25</v>
      </c>
      <c r="Q570">
        <v>2597294</v>
      </c>
      <c r="R570" t="s">
        <v>49</v>
      </c>
      <c r="S570" t="s">
        <v>65</v>
      </c>
      <c r="T570" t="s">
        <v>45</v>
      </c>
    </row>
    <row r="571" spans="1:20" x14ac:dyDescent="0.3">
      <c r="A571" t="s">
        <v>872</v>
      </c>
      <c r="B571" s="1">
        <v>45912</v>
      </c>
      <c r="C571" s="1" t="s">
        <v>1329</v>
      </c>
      <c r="D571" t="s">
        <v>795</v>
      </c>
      <c r="E571" t="s">
        <v>77</v>
      </c>
      <c r="F571" t="s">
        <v>64</v>
      </c>
      <c r="G571" t="s">
        <v>59</v>
      </c>
      <c r="H571" t="s">
        <v>24</v>
      </c>
      <c r="I571">
        <v>0</v>
      </c>
      <c r="J571">
        <v>0</v>
      </c>
      <c r="K571">
        <v>0</v>
      </c>
      <c r="L571">
        <v>0</v>
      </c>
      <c r="M571">
        <v>8776.7800000000007</v>
      </c>
      <c r="N571">
        <v>858</v>
      </c>
      <c r="O571">
        <v>61</v>
      </c>
      <c r="P571" t="s">
        <v>25</v>
      </c>
      <c r="Q571">
        <v>1759053</v>
      </c>
      <c r="R571" t="s">
        <v>49</v>
      </c>
      <c r="S571" t="s">
        <v>27</v>
      </c>
      <c r="T571" t="s">
        <v>60</v>
      </c>
    </row>
    <row r="572" spans="1:20" x14ac:dyDescent="0.3">
      <c r="A572" t="s">
        <v>873</v>
      </c>
      <c r="B572" s="1">
        <v>45770</v>
      </c>
      <c r="C572" s="1" t="s">
        <v>1324</v>
      </c>
      <c r="D572" t="s">
        <v>531</v>
      </c>
      <c r="E572" t="s">
        <v>48</v>
      </c>
      <c r="F572" t="s">
        <v>64</v>
      </c>
      <c r="G572" t="s">
        <v>23</v>
      </c>
      <c r="H572" t="s">
        <v>24</v>
      </c>
      <c r="I572">
        <v>0</v>
      </c>
      <c r="J572">
        <v>0</v>
      </c>
      <c r="K572">
        <v>0</v>
      </c>
      <c r="L572">
        <v>0</v>
      </c>
      <c r="M572">
        <v>5385.32</v>
      </c>
      <c r="N572">
        <v>357</v>
      </c>
      <c r="O572">
        <v>63</v>
      </c>
      <c r="P572" t="s">
        <v>32</v>
      </c>
      <c r="Q572">
        <v>1651197</v>
      </c>
      <c r="R572" t="s">
        <v>26</v>
      </c>
      <c r="S572" t="s">
        <v>27</v>
      </c>
      <c r="T572" t="s">
        <v>41</v>
      </c>
    </row>
    <row r="573" spans="1:20" x14ac:dyDescent="0.3">
      <c r="A573" t="s">
        <v>874</v>
      </c>
      <c r="B573" s="1">
        <v>45827</v>
      </c>
      <c r="C573" s="1" t="s">
        <v>1326</v>
      </c>
      <c r="D573" t="s">
        <v>724</v>
      </c>
      <c r="E573" t="s">
        <v>48</v>
      </c>
      <c r="F573" t="s">
        <v>44</v>
      </c>
      <c r="G573" t="s">
        <v>59</v>
      </c>
      <c r="H573" t="s">
        <v>31</v>
      </c>
      <c r="I573">
        <v>0</v>
      </c>
      <c r="J573">
        <v>0</v>
      </c>
      <c r="K573">
        <v>274579</v>
      </c>
      <c r="L573">
        <v>0</v>
      </c>
      <c r="M573">
        <v>0</v>
      </c>
      <c r="N573">
        <v>623</v>
      </c>
      <c r="O573">
        <v>33</v>
      </c>
      <c r="P573" t="s">
        <v>25</v>
      </c>
      <c r="Q573">
        <v>684633</v>
      </c>
      <c r="R573" t="s">
        <v>49</v>
      </c>
      <c r="S573" t="s">
        <v>33</v>
      </c>
      <c r="T573" t="s">
        <v>28</v>
      </c>
    </row>
    <row r="574" spans="1:20" x14ac:dyDescent="0.3">
      <c r="A574" t="s">
        <v>875</v>
      </c>
      <c r="B574" s="1">
        <v>45993</v>
      </c>
      <c r="C574" s="1" t="s">
        <v>1332</v>
      </c>
      <c r="D574" t="s">
        <v>126</v>
      </c>
      <c r="E574" t="s">
        <v>48</v>
      </c>
      <c r="F574" t="s">
        <v>64</v>
      </c>
      <c r="G574" t="s">
        <v>68</v>
      </c>
      <c r="H574" t="s">
        <v>56</v>
      </c>
      <c r="I574">
        <v>67097</v>
      </c>
      <c r="J574">
        <v>0</v>
      </c>
      <c r="K574">
        <v>0</v>
      </c>
      <c r="L574">
        <v>0</v>
      </c>
      <c r="M574">
        <v>0</v>
      </c>
      <c r="N574">
        <v>619</v>
      </c>
      <c r="O574">
        <v>31</v>
      </c>
      <c r="P574" t="s">
        <v>25</v>
      </c>
      <c r="Q574">
        <v>1614934</v>
      </c>
      <c r="R574" t="s">
        <v>26</v>
      </c>
      <c r="S574" t="s">
        <v>27</v>
      </c>
      <c r="T574" t="s">
        <v>34</v>
      </c>
    </row>
    <row r="575" spans="1:20" x14ac:dyDescent="0.3">
      <c r="A575" t="s">
        <v>876</v>
      </c>
      <c r="B575" s="1">
        <v>45911</v>
      </c>
      <c r="C575" s="1" t="s">
        <v>1329</v>
      </c>
      <c r="D575" t="s">
        <v>58</v>
      </c>
      <c r="E575" t="s">
        <v>37</v>
      </c>
      <c r="F575" t="s">
        <v>21</v>
      </c>
      <c r="G575" t="s">
        <v>23</v>
      </c>
      <c r="H575" t="s">
        <v>31</v>
      </c>
      <c r="I575">
        <v>0</v>
      </c>
      <c r="J575">
        <v>0</v>
      </c>
      <c r="K575">
        <v>966933</v>
      </c>
      <c r="L575">
        <v>0</v>
      </c>
      <c r="M575">
        <v>0</v>
      </c>
      <c r="N575">
        <v>773</v>
      </c>
      <c r="O575">
        <v>30</v>
      </c>
      <c r="P575" t="s">
        <v>25</v>
      </c>
      <c r="Q575">
        <v>1684305</v>
      </c>
      <c r="R575" t="s">
        <v>26</v>
      </c>
      <c r="S575" t="s">
        <v>33</v>
      </c>
      <c r="T575" t="s">
        <v>41</v>
      </c>
    </row>
    <row r="576" spans="1:20" x14ac:dyDescent="0.3">
      <c r="A576" t="s">
        <v>877</v>
      </c>
      <c r="B576" s="1">
        <v>46012</v>
      </c>
      <c r="C576" s="1" t="s">
        <v>1332</v>
      </c>
      <c r="D576" t="s">
        <v>601</v>
      </c>
      <c r="E576" t="s">
        <v>77</v>
      </c>
      <c r="F576" t="s">
        <v>21</v>
      </c>
      <c r="G576" t="s">
        <v>39</v>
      </c>
      <c r="H576" t="s">
        <v>52</v>
      </c>
      <c r="I576">
        <v>0</v>
      </c>
      <c r="J576">
        <v>0</v>
      </c>
      <c r="K576">
        <v>0</v>
      </c>
      <c r="L576">
        <v>35895</v>
      </c>
      <c r="M576">
        <v>0</v>
      </c>
      <c r="N576">
        <v>651</v>
      </c>
      <c r="O576">
        <v>48</v>
      </c>
      <c r="P576" t="s">
        <v>32</v>
      </c>
      <c r="Q576">
        <v>1886795</v>
      </c>
      <c r="R576" t="s">
        <v>49</v>
      </c>
      <c r="S576" t="s">
        <v>71</v>
      </c>
      <c r="T576" t="s">
        <v>60</v>
      </c>
    </row>
    <row r="577" spans="1:20" x14ac:dyDescent="0.3">
      <c r="A577" t="s">
        <v>878</v>
      </c>
      <c r="B577" s="1">
        <v>45856</v>
      </c>
      <c r="C577" s="1" t="s">
        <v>1327</v>
      </c>
      <c r="D577" t="s">
        <v>879</v>
      </c>
      <c r="E577" t="s">
        <v>37</v>
      </c>
      <c r="F577" t="s">
        <v>22</v>
      </c>
      <c r="G577" t="s">
        <v>68</v>
      </c>
      <c r="H577" t="s">
        <v>40</v>
      </c>
      <c r="I577">
        <v>0</v>
      </c>
      <c r="J577">
        <v>79011</v>
      </c>
      <c r="K577">
        <v>0</v>
      </c>
      <c r="L577">
        <v>0</v>
      </c>
      <c r="M577">
        <v>0</v>
      </c>
      <c r="N577">
        <v>689</v>
      </c>
      <c r="O577">
        <v>31</v>
      </c>
      <c r="P577" t="s">
        <v>32</v>
      </c>
      <c r="Q577">
        <v>859198</v>
      </c>
      <c r="R577" t="s">
        <v>26</v>
      </c>
      <c r="S577" t="s">
        <v>27</v>
      </c>
      <c r="T577" t="s">
        <v>28</v>
      </c>
    </row>
    <row r="578" spans="1:20" x14ac:dyDescent="0.3">
      <c r="A578" t="s">
        <v>880</v>
      </c>
      <c r="B578" s="1">
        <v>45932</v>
      </c>
      <c r="C578" s="1" t="s">
        <v>1330</v>
      </c>
      <c r="D578" t="s">
        <v>58</v>
      </c>
      <c r="E578" t="s">
        <v>1338</v>
      </c>
      <c r="F578" t="s">
        <v>21</v>
      </c>
      <c r="G578" t="s">
        <v>23</v>
      </c>
      <c r="H578" t="s">
        <v>56</v>
      </c>
      <c r="I578">
        <v>37564</v>
      </c>
      <c r="J578">
        <v>0</v>
      </c>
      <c r="K578">
        <v>0</v>
      </c>
      <c r="L578">
        <v>0</v>
      </c>
      <c r="M578">
        <v>0</v>
      </c>
      <c r="N578">
        <v>668</v>
      </c>
      <c r="O578">
        <v>52</v>
      </c>
      <c r="P578" t="s">
        <v>25</v>
      </c>
      <c r="Q578">
        <v>2957821</v>
      </c>
      <c r="R578" t="s">
        <v>26</v>
      </c>
      <c r="S578" t="s">
        <v>27</v>
      </c>
      <c r="T578" t="s">
        <v>45</v>
      </c>
    </row>
    <row r="579" spans="1:20" x14ac:dyDescent="0.3">
      <c r="A579" t="s">
        <v>881</v>
      </c>
      <c r="B579" s="1">
        <v>45875</v>
      </c>
      <c r="C579" s="1" t="s">
        <v>1328</v>
      </c>
      <c r="D579" t="s">
        <v>882</v>
      </c>
      <c r="E579" t="s">
        <v>21</v>
      </c>
      <c r="F579" t="s">
        <v>22</v>
      </c>
      <c r="G579" t="s">
        <v>59</v>
      </c>
      <c r="H579" t="s">
        <v>31</v>
      </c>
      <c r="I579">
        <v>0</v>
      </c>
      <c r="J579">
        <v>0</v>
      </c>
      <c r="K579">
        <v>844314</v>
      </c>
      <c r="L579">
        <v>0</v>
      </c>
      <c r="M579">
        <v>0</v>
      </c>
      <c r="N579">
        <v>738</v>
      </c>
      <c r="O579">
        <v>18</v>
      </c>
      <c r="P579" t="s">
        <v>32</v>
      </c>
      <c r="Q579">
        <v>1420550</v>
      </c>
      <c r="R579" t="s">
        <v>49</v>
      </c>
      <c r="S579" t="s">
        <v>33</v>
      </c>
      <c r="T579" t="s">
        <v>28</v>
      </c>
    </row>
    <row r="580" spans="1:20" x14ac:dyDescent="0.3">
      <c r="A580" t="s">
        <v>883</v>
      </c>
      <c r="B580" s="1">
        <v>45985</v>
      </c>
      <c r="C580" s="1" t="s">
        <v>1331</v>
      </c>
      <c r="D580" t="s">
        <v>884</v>
      </c>
      <c r="E580" t="s">
        <v>55</v>
      </c>
      <c r="F580" t="s">
        <v>44</v>
      </c>
      <c r="G580" t="s">
        <v>23</v>
      </c>
      <c r="H580" t="s">
        <v>40</v>
      </c>
      <c r="I580">
        <v>0</v>
      </c>
      <c r="J580">
        <v>53748</v>
      </c>
      <c r="K580">
        <v>0</v>
      </c>
      <c r="L580">
        <v>0</v>
      </c>
      <c r="M580">
        <v>0</v>
      </c>
      <c r="N580">
        <v>457</v>
      </c>
      <c r="O580">
        <v>26</v>
      </c>
      <c r="P580" t="s">
        <v>25</v>
      </c>
      <c r="Q580">
        <v>1144118</v>
      </c>
      <c r="R580" t="s">
        <v>49</v>
      </c>
      <c r="S580" t="s">
        <v>27</v>
      </c>
      <c r="T580" t="s">
        <v>34</v>
      </c>
    </row>
    <row r="581" spans="1:20" x14ac:dyDescent="0.3">
      <c r="A581" t="s">
        <v>885</v>
      </c>
      <c r="B581" s="1">
        <v>45979</v>
      </c>
      <c r="C581" s="1" t="s">
        <v>1331</v>
      </c>
      <c r="D581" t="s">
        <v>129</v>
      </c>
      <c r="E581" t="s">
        <v>48</v>
      </c>
      <c r="F581" t="s">
        <v>64</v>
      </c>
      <c r="G581" t="s">
        <v>59</v>
      </c>
      <c r="H581" t="s">
        <v>24</v>
      </c>
      <c r="I581">
        <v>0</v>
      </c>
      <c r="J581">
        <v>0</v>
      </c>
      <c r="K581">
        <v>0</v>
      </c>
      <c r="L581">
        <v>0</v>
      </c>
      <c r="M581">
        <v>3339.44</v>
      </c>
      <c r="N581">
        <v>612</v>
      </c>
      <c r="O581">
        <v>57</v>
      </c>
      <c r="P581" t="s">
        <v>32</v>
      </c>
      <c r="Q581">
        <v>1081288</v>
      </c>
      <c r="R581" t="s">
        <v>49</v>
      </c>
      <c r="S581" t="s">
        <v>27</v>
      </c>
      <c r="T581" t="s">
        <v>45</v>
      </c>
    </row>
    <row r="582" spans="1:20" x14ac:dyDescent="0.3">
      <c r="A582" t="s">
        <v>886</v>
      </c>
      <c r="B582" s="1">
        <v>45935</v>
      </c>
      <c r="C582" s="1" t="s">
        <v>1330</v>
      </c>
      <c r="D582" t="s">
        <v>312</v>
      </c>
      <c r="E582" t="s">
        <v>48</v>
      </c>
      <c r="F582" t="s">
        <v>64</v>
      </c>
      <c r="G582" t="s">
        <v>59</v>
      </c>
      <c r="H582" t="s">
        <v>24</v>
      </c>
      <c r="I582">
        <v>0</v>
      </c>
      <c r="J582">
        <v>0</v>
      </c>
      <c r="K582">
        <v>0</v>
      </c>
      <c r="L582">
        <v>0</v>
      </c>
      <c r="M582">
        <v>4106.8900000000003</v>
      </c>
      <c r="N582">
        <v>680</v>
      </c>
      <c r="O582">
        <v>42</v>
      </c>
      <c r="P582" t="s">
        <v>32</v>
      </c>
      <c r="Q582">
        <v>2115273</v>
      </c>
      <c r="R582" t="s">
        <v>49</v>
      </c>
      <c r="S582" t="s">
        <v>27</v>
      </c>
      <c r="T582" t="s">
        <v>41</v>
      </c>
    </row>
    <row r="583" spans="1:20" x14ac:dyDescent="0.3">
      <c r="A583" t="s">
        <v>887</v>
      </c>
      <c r="B583" s="1">
        <v>45964</v>
      </c>
      <c r="C583" s="1" t="s">
        <v>1331</v>
      </c>
      <c r="D583" t="s">
        <v>276</v>
      </c>
      <c r="E583" t="s">
        <v>55</v>
      </c>
      <c r="F583" t="s">
        <v>64</v>
      </c>
      <c r="G583" t="s">
        <v>59</v>
      </c>
      <c r="H583" t="s">
        <v>40</v>
      </c>
      <c r="I583">
        <v>0</v>
      </c>
      <c r="J583">
        <v>48548</v>
      </c>
      <c r="K583">
        <v>0</v>
      </c>
      <c r="L583">
        <v>0</v>
      </c>
      <c r="M583">
        <v>0</v>
      </c>
      <c r="N583">
        <v>568</v>
      </c>
      <c r="O583">
        <v>48</v>
      </c>
      <c r="P583" t="s">
        <v>25</v>
      </c>
      <c r="Q583">
        <v>2585115</v>
      </c>
      <c r="R583" t="s">
        <v>26</v>
      </c>
      <c r="S583" t="s">
        <v>27</v>
      </c>
      <c r="T583" t="s">
        <v>41</v>
      </c>
    </row>
    <row r="584" spans="1:20" x14ac:dyDescent="0.3">
      <c r="A584" t="s">
        <v>888</v>
      </c>
      <c r="B584" s="1">
        <v>45751</v>
      </c>
      <c r="C584" s="1" t="s">
        <v>1324</v>
      </c>
      <c r="D584" t="s">
        <v>698</v>
      </c>
      <c r="E584" t="s">
        <v>37</v>
      </c>
      <c r="F584" t="s">
        <v>44</v>
      </c>
      <c r="G584" t="s">
        <v>39</v>
      </c>
      <c r="H584" t="s">
        <v>31</v>
      </c>
      <c r="I584">
        <v>0</v>
      </c>
      <c r="J584">
        <v>0</v>
      </c>
      <c r="K584">
        <v>739678</v>
      </c>
      <c r="L584">
        <v>0</v>
      </c>
      <c r="M584">
        <v>0</v>
      </c>
      <c r="N584">
        <v>555</v>
      </c>
      <c r="O584">
        <v>23</v>
      </c>
      <c r="P584" t="s">
        <v>32</v>
      </c>
      <c r="Q584">
        <v>915577</v>
      </c>
      <c r="R584" t="s">
        <v>26</v>
      </c>
      <c r="S584" t="s">
        <v>33</v>
      </c>
      <c r="T584" t="s">
        <v>45</v>
      </c>
    </row>
    <row r="585" spans="1:20" x14ac:dyDescent="0.3">
      <c r="A585" t="s">
        <v>889</v>
      </c>
      <c r="B585" s="1">
        <v>45896</v>
      </c>
      <c r="C585" s="1" t="s">
        <v>1328</v>
      </c>
      <c r="D585" t="s">
        <v>93</v>
      </c>
      <c r="E585" t="s">
        <v>21</v>
      </c>
      <c r="F585" t="s">
        <v>64</v>
      </c>
      <c r="G585" t="s">
        <v>68</v>
      </c>
      <c r="H585" t="s">
        <v>56</v>
      </c>
      <c r="I585">
        <v>168283</v>
      </c>
      <c r="J585">
        <v>0</v>
      </c>
      <c r="K585">
        <v>0</v>
      </c>
      <c r="L585">
        <v>0</v>
      </c>
      <c r="M585">
        <v>0</v>
      </c>
      <c r="N585">
        <v>666</v>
      </c>
      <c r="O585">
        <v>41</v>
      </c>
      <c r="P585" t="s">
        <v>25</v>
      </c>
      <c r="Q585">
        <v>616197</v>
      </c>
      <c r="R585" t="s">
        <v>49</v>
      </c>
      <c r="S585" t="s">
        <v>27</v>
      </c>
      <c r="T585" t="s">
        <v>60</v>
      </c>
    </row>
    <row r="586" spans="1:20" x14ac:dyDescent="0.3">
      <c r="A586" t="s">
        <v>890</v>
      </c>
      <c r="B586" s="1">
        <v>45940</v>
      </c>
      <c r="C586" s="1" t="s">
        <v>1330</v>
      </c>
      <c r="D586" t="s">
        <v>140</v>
      </c>
      <c r="E586" t="s">
        <v>37</v>
      </c>
      <c r="F586" t="s">
        <v>22</v>
      </c>
      <c r="G586" t="s">
        <v>39</v>
      </c>
      <c r="H586" t="s">
        <v>40</v>
      </c>
      <c r="I586">
        <v>0</v>
      </c>
      <c r="J586">
        <v>15196</v>
      </c>
      <c r="K586">
        <v>0</v>
      </c>
      <c r="L586">
        <v>0</v>
      </c>
      <c r="M586">
        <v>0</v>
      </c>
      <c r="N586">
        <v>460</v>
      </c>
      <c r="O586">
        <v>58</v>
      </c>
      <c r="P586" t="s">
        <v>25</v>
      </c>
      <c r="Q586">
        <v>2218175</v>
      </c>
      <c r="R586" t="s">
        <v>49</v>
      </c>
      <c r="S586" t="s">
        <v>27</v>
      </c>
      <c r="T586" t="s">
        <v>28</v>
      </c>
    </row>
    <row r="587" spans="1:20" x14ac:dyDescent="0.3">
      <c r="A587" t="s">
        <v>891</v>
      </c>
      <c r="B587" s="1">
        <v>45853</v>
      </c>
      <c r="C587" s="1" t="s">
        <v>1327</v>
      </c>
      <c r="D587" t="s">
        <v>96</v>
      </c>
      <c r="E587" t="s">
        <v>48</v>
      </c>
      <c r="F587" t="s">
        <v>22</v>
      </c>
      <c r="G587" t="s">
        <v>39</v>
      </c>
      <c r="H587" t="s">
        <v>24</v>
      </c>
      <c r="I587">
        <v>0</v>
      </c>
      <c r="J587">
        <v>0</v>
      </c>
      <c r="K587">
        <v>0</v>
      </c>
      <c r="L587">
        <v>0</v>
      </c>
      <c r="M587">
        <v>933.8</v>
      </c>
      <c r="N587">
        <v>555</v>
      </c>
      <c r="O587">
        <v>44</v>
      </c>
      <c r="P587" t="s">
        <v>25</v>
      </c>
      <c r="Q587">
        <v>1955182</v>
      </c>
      <c r="R587" t="s">
        <v>49</v>
      </c>
      <c r="S587" t="s">
        <v>27</v>
      </c>
      <c r="T587" t="s">
        <v>41</v>
      </c>
    </row>
    <row r="588" spans="1:20" x14ac:dyDescent="0.3">
      <c r="A588" t="s">
        <v>892</v>
      </c>
      <c r="B588" s="1">
        <v>45984</v>
      </c>
      <c r="C588" s="1" t="s">
        <v>1331</v>
      </c>
      <c r="D588" t="s">
        <v>884</v>
      </c>
      <c r="E588" t="s">
        <v>21</v>
      </c>
      <c r="F588" t="s">
        <v>21</v>
      </c>
      <c r="G588" t="s">
        <v>59</v>
      </c>
      <c r="H588" t="s">
        <v>24</v>
      </c>
      <c r="I588">
        <v>0</v>
      </c>
      <c r="J588">
        <v>0</v>
      </c>
      <c r="K588">
        <v>0</v>
      </c>
      <c r="L588">
        <v>0</v>
      </c>
      <c r="M588">
        <v>4297.34</v>
      </c>
      <c r="N588">
        <v>405</v>
      </c>
      <c r="O588">
        <v>23</v>
      </c>
      <c r="P588" t="s">
        <v>25</v>
      </c>
      <c r="Q588">
        <v>2667924</v>
      </c>
      <c r="R588" t="s">
        <v>49</v>
      </c>
      <c r="S588" t="s">
        <v>27</v>
      </c>
      <c r="T588" t="s">
        <v>34</v>
      </c>
    </row>
    <row r="589" spans="1:20" x14ac:dyDescent="0.3">
      <c r="A589" t="s">
        <v>893</v>
      </c>
      <c r="B589" s="1">
        <v>45784</v>
      </c>
      <c r="C589" s="1" t="s">
        <v>1325</v>
      </c>
      <c r="D589" t="s">
        <v>93</v>
      </c>
      <c r="E589" t="s">
        <v>77</v>
      </c>
      <c r="F589" t="s">
        <v>22</v>
      </c>
      <c r="G589" t="s">
        <v>59</v>
      </c>
      <c r="H589" t="s">
        <v>56</v>
      </c>
      <c r="I589">
        <v>9684</v>
      </c>
      <c r="J589">
        <v>0</v>
      </c>
      <c r="K589">
        <v>0</v>
      </c>
      <c r="L589">
        <v>0</v>
      </c>
      <c r="M589">
        <v>0</v>
      </c>
      <c r="N589">
        <v>522</v>
      </c>
      <c r="O589">
        <v>24</v>
      </c>
      <c r="P589" t="s">
        <v>32</v>
      </c>
      <c r="Q589">
        <v>1931635</v>
      </c>
      <c r="R589" t="s">
        <v>26</v>
      </c>
      <c r="S589" t="s">
        <v>27</v>
      </c>
      <c r="T589" t="s">
        <v>45</v>
      </c>
    </row>
    <row r="590" spans="1:20" x14ac:dyDescent="0.3">
      <c r="A590" t="s">
        <v>894</v>
      </c>
      <c r="B590" s="1">
        <v>45751</v>
      </c>
      <c r="C590" s="1" t="s">
        <v>1324</v>
      </c>
      <c r="D590" t="s">
        <v>175</v>
      </c>
      <c r="E590" t="s">
        <v>77</v>
      </c>
      <c r="F590" t="s">
        <v>21</v>
      </c>
      <c r="G590" t="s">
        <v>23</v>
      </c>
      <c r="H590" t="s">
        <v>31</v>
      </c>
      <c r="I590">
        <v>0</v>
      </c>
      <c r="J590">
        <v>0</v>
      </c>
      <c r="K590">
        <v>1484395</v>
      </c>
      <c r="L590">
        <v>0</v>
      </c>
      <c r="M590">
        <v>0</v>
      </c>
      <c r="N590">
        <v>333</v>
      </c>
      <c r="O590">
        <v>32</v>
      </c>
      <c r="P590" t="s">
        <v>25</v>
      </c>
      <c r="Q590">
        <v>1472872</v>
      </c>
      <c r="R590" t="s">
        <v>26</v>
      </c>
      <c r="S590" t="s">
        <v>65</v>
      </c>
      <c r="T590" t="s">
        <v>41</v>
      </c>
    </row>
    <row r="591" spans="1:20" x14ac:dyDescent="0.3">
      <c r="A591" t="s">
        <v>895</v>
      </c>
      <c r="B591" s="1">
        <v>45945</v>
      </c>
      <c r="C591" s="1" t="s">
        <v>1330</v>
      </c>
      <c r="D591" t="s">
        <v>388</v>
      </c>
      <c r="E591" t="s">
        <v>55</v>
      </c>
      <c r="F591" t="s">
        <v>38</v>
      </c>
      <c r="G591" t="s">
        <v>39</v>
      </c>
      <c r="H591" t="s">
        <v>56</v>
      </c>
      <c r="I591">
        <v>14128</v>
      </c>
      <c r="J591">
        <v>0</v>
      </c>
      <c r="K591">
        <v>0</v>
      </c>
      <c r="L591">
        <v>0</v>
      </c>
      <c r="M591">
        <v>0</v>
      </c>
      <c r="N591">
        <v>608</v>
      </c>
      <c r="O591">
        <v>44</v>
      </c>
      <c r="P591" t="s">
        <v>32</v>
      </c>
      <c r="Q591">
        <v>727004</v>
      </c>
      <c r="R591" t="s">
        <v>49</v>
      </c>
      <c r="S591" t="s">
        <v>27</v>
      </c>
      <c r="T591" t="s">
        <v>28</v>
      </c>
    </row>
    <row r="592" spans="1:20" x14ac:dyDescent="0.3">
      <c r="A592" t="s">
        <v>896</v>
      </c>
      <c r="B592" s="1">
        <v>45971</v>
      </c>
      <c r="C592" s="1" t="s">
        <v>1331</v>
      </c>
      <c r="D592" t="s">
        <v>315</v>
      </c>
      <c r="E592" t="s">
        <v>63</v>
      </c>
      <c r="F592" t="s">
        <v>44</v>
      </c>
      <c r="G592" t="s">
        <v>59</v>
      </c>
      <c r="H592" t="s">
        <v>31</v>
      </c>
      <c r="I592">
        <v>0</v>
      </c>
      <c r="J592">
        <v>0</v>
      </c>
      <c r="K592">
        <v>1655053</v>
      </c>
      <c r="L592">
        <v>0</v>
      </c>
      <c r="M592">
        <v>0</v>
      </c>
      <c r="N592">
        <v>601</v>
      </c>
      <c r="O592">
        <v>66</v>
      </c>
      <c r="P592" t="s">
        <v>25</v>
      </c>
      <c r="Q592">
        <v>2816328</v>
      </c>
      <c r="R592" t="s">
        <v>26</v>
      </c>
      <c r="S592" t="s">
        <v>65</v>
      </c>
      <c r="T592" t="s">
        <v>45</v>
      </c>
    </row>
    <row r="593" spans="1:20" x14ac:dyDescent="0.3">
      <c r="A593" t="s">
        <v>897</v>
      </c>
      <c r="B593" s="1">
        <v>45698</v>
      </c>
      <c r="C593" s="1" t="s">
        <v>1322</v>
      </c>
      <c r="D593" t="s">
        <v>268</v>
      </c>
      <c r="E593" t="s">
        <v>48</v>
      </c>
      <c r="F593" t="s">
        <v>21</v>
      </c>
      <c r="G593" t="s">
        <v>59</v>
      </c>
      <c r="H593" t="s">
        <v>52</v>
      </c>
      <c r="I593">
        <v>0</v>
      </c>
      <c r="J593">
        <v>0</v>
      </c>
      <c r="K593">
        <v>0</v>
      </c>
      <c r="L593">
        <v>26165</v>
      </c>
      <c r="M593">
        <v>0</v>
      </c>
      <c r="N593">
        <v>388</v>
      </c>
      <c r="O593">
        <v>23</v>
      </c>
      <c r="P593" t="s">
        <v>25</v>
      </c>
      <c r="Q593">
        <v>1212355</v>
      </c>
      <c r="R593" t="s">
        <v>26</v>
      </c>
      <c r="S593" t="s">
        <v>74</v>
      </c>
      <c r="T593" t="s">
        <v>41</v>
      </c>
    </row>
    <row r="594" spans="1:20" x14ac:dyDescent="0.3">
      <c r="A594" t="s">
        <v>898</v>
      </c>
      <c r="B594" s="1">
        <v>45789</v>
      </c>
      <c r="C594" s="1" t="s">
        <v>1325</v>
      </c>
      <c r="D594" t="s">
        <v>578</v>
      </c>
      <c r="E594" t="s">
        <v>55</v>
      </c>
      <c r="F594" t="s">
        <v>44</v>
      </c>
      <c r="G594" t="s">
        <v>68</v>
      </c>
      <c r="H594" t="s">
        <v>52</v>
      </c>
      <c r="I594">
        <v>0</v>
      </c>
      <c r="J594">
        <v>0</v>
      </c>
      <c r="K594">
        <v>0</v>
      </c>
      <c r="L594">
        <v>9621</v>
      </c>
      <c r="M594">
        <v>0</v>
      </c>
      <c r="N594">
        <v>460</v>
      </c>
      <c r="O594">
        <v>39</v>
      </c>
      <c r="P594" t="s">
        <v>25</v>
      </c>
      <c r="Q594">
        <v>1126231</v>
      </c>
      <c r="R594" t="s">
        <v>49</v>
      </c>
      <c r="S594" t="s">
        <v>71</v>
      </c>
      <c r="T594" t="s">
        <v>45</v>
      </c>
    </row>
    <row r="595" spans="1:20" x14ac:dyDescent="0.3">
      <c r="A595" t="s">
        <v>899</v>
      </c>
      <c r="B595" s="1">
        <v>45735</v>
      </c>
      <c r="C595" s="1" t="s">
        <v>1323</v>
      </c>
      <c r="D595" t="s">
        <v>416</v>
      </c>
      <c r="E595" t="s">
        <v>63</v>
      </c>
      <c r="F595" t="s">
        <v>21</v>
      </c>
      <c r="G595" t="s">
        <v>39</v>
      </c>
      <c r="H595" t="s">
        <v>31</v>
      </c>
      <c r="I595">
        <v>0</v>
      </c>
      <c r="J595">
        <v>0</v>
      </c>
      <c r="K595">
        <v>1336776</v>
      </c>
      <c r="L595">
        <v>0</v>
      </c>
      <c r="M595">
        <v>0</v>
      </c>
      <c r="N595">
        <v>866</v>
      </c>
      <c r="O595">
        <v>40</v>
      </c>
      <c r="P595" t="s">
        <v>32</v>
      </c>
      <c r="Q595">
        <v>802649</v>
      </c>
      <c r="R595" t="s">
        <v>26</v>
      </c>
      <c r="S595" t="s">
        <v>65</v>
      </c>
      <c r="T595" t="s">
        <v>28</v>
      </c>
    </row>
    <row r="596" spans="1:20" x14ac:dyDescent="0.3">
      <c r="A596" t="s">
        <v>900</v>
      </c>
      <c r="B596" s="1">
        <v>45701</v>
      </c>
      <c r="C596" s="1" t="s">
        <v>1322</v>
      </c>
      <c r="D596" t="s">
        <v>148</v>
      </c>
      <c r="E596" t="s">
        <v>37</v>
      </c>
      <c r="F596" t="s">
        <v>64</v>
      </c>
      <c r="G596" t="s">
        <v>59</v>
      </c>
      <c r="H596" t="s">
        <v>40</v>
      </c>
      <c r="I596">
        <v>0</v>
      </c>
      <c r="J596">
        <v>36886</v>
      </c>
      <c r="K596">
        <v>0</v>
      </c>
      <c r="L596">
        <v>0</v>
      </c>
      <c r="M596">
        <v>0</v>
      </c>
      <c r="N596">
        <v>693</v>
      </c>
      <c r="O596">
        <v>55</v>
      </c>
      <c r="P596" t="s">
        <v>25</v>
      </c>
      <c r="Q596">
        <v>1179093</v>
      </c>
      <c r="R596" t="s">
        <v>26</v>
      </c>
      <c r="S596" t="s">
        <v>27</v>
      </c>
      <c r="T596" t="s">
        <v>34</v>
      </c>
    </row>
    <row r="597" spans="1:20" x14ac:dyDescent="0.3">
      <c r="A597" t="s">
        <v>901</v>
      </c>
      <c r="B597" s="1">
        <v>45665</v>
      </c>
      <c r="C597" s="1" t="s">
        <v>1321</v>
      </c>
      <c r="D597" t="s">
        <v>902</v>
      </c>
      <c r="E597" t="s">
        <v>55</v>
      </c>
      <c r="F597" t="s">
        <v>44</v>
      </c>
      <c r="G597" t="s">
        <v>23</v>
      </c>
      <c r="H597" t="s">
        <v>40</v>
      </c>
      <c r="I597">
        <v>0</v>
      </c>
      <c r="J597">
        <v>73643</v>
      </c>
      <c r="K597">
        <v>0</v>
      </c>
      <c r="L597">
        <v>0</v>
      </c>
      <c r="M597">
        <v>0</v>
      </c>
      <c r="N597">
        <v>802</v>
      </c>
      <c r="O597">
        <v>24</v>
      </c>
      <c r="P597" t="s">
        <v>25</v>
      </c>
      <c r="Q597">
        <v>252158</v>
      </c>
      <c r="R597" t="s">
        <v>49</v>
      </c>
      <c r="S597" t="s">
        <v>27</v>
      </c>
      <c r="T597" t="s">
        <v>60</v>
      </c>
    </row>
    <row r="598" spans="1:20" x14ac:dyDescent="0.3">
      <c r="A598" t="s">
        <v>903</v>
      </c>
      <c r="B598" s="1">
        <v>45901</v>
      </c>
      <c r="C598" s="1" t="s">
        <v>1329</v>
      </c>
      <c r="D598" t="s">
        <v>388</v>
      </c>
      <c r="E598" t="s">
        <v>55</v>
      </c>
      <c r="F598" t="s">
        <v>22</v>
      </c>
      <c r="G598" t="s">
        <v>59</v>
      </c>
      <c r="H598" t="s">
        <v>52</v>
      </c>
      <c r="I598">
        <v>0</v>
      </c>
      <c r="J598">
        <v>0</v>
      </c>
      <c r="K598">
        <v>0</v>
      </c>
      <c r="L598">
        <v>35820</v>
      </c>
      <c r="M598">
        <v>0</v>
      </c>
      <c r="N598">
        <v>860</v>
      </c>
      <c r="O598">
        <v>61</v>
      </c>
      <c r="P598" t="s">
        <v>25</v>
      </c>
      <c r="Q598">
        <v>2063902</v>
      </c>
      <c r="R598" t="s">
        <v>26</v>
      </c>
      <c r="S598" t="s">
        <v>33</v>
      </c>
      <c r="T598" t="s">
        <v>60</v>
      </c>
    </row>
    <row r="599" spans="1:20" x14ac:dyDescent="0.3">
      <c r="A599" t="s">
        <v>904</v>
      </c>
      <c r="B599" s="1">
        <v>45977</v>
      </c>
      <c r="C599" s="1" t="s">
        <v>1331</v>
      </c>
      <c r="D599" t="s">
        <v>905</v>
      </c>
      <c r="E599" t="s">
        <v>48</v>
      </c>
      <c r="F599" t="s">
        <v>44</v>
      </c>
      <c r="G599" t="s">
        <v>68</v>
      </c>
      <c r="H599" t="s">
        <v>56</v>
      </c>
      <c r="I599">
        <v>77820</v>
      </c>
      <c r="J599">
        <v>0</v>
      </c>
      <c r="K599">
        <v>0</v>
      </c>
      <c r="L599">
        <v>0</v>
      </c>
      <c r="M599">
        <v>0</v>
      </c>
      <c r="N599">
        <v>521</v>
      </c>
      <c r="O599">
        <v>52</v>
      </c>
      <c r="P599" t="s">
        <v>32</v>
      </c>
      <c r="Q599">
        <v>2199366</v>
      </c>
      <c r="R599" t="s">
        <v>49</v>
      </c>
      <c r="S599" t="s">
        <v>27</v>
      </c>
      <c r="T599" t="s">
        <v>34</v>
      </c>
    </row>
    <row r="600" spans="1:20" x14ac:dyDescent="0.3">
      <c r="A600" t="s">
        <v>906</v>
      </c>
      <c r="B600" s="1">
        <v>45858</v>
      </c>
      <c r="C600" s="1" t="s">
        <v>1327</v>
      </c>
      <c r="D600" t="s">
        <v>801</v>
      </c>
      <c r="E600" t="s">
        <v>55</v>
      </c>
      <c r="F600" t="s">
        <v>22</v>
      </c>
      <c r="G600" t="s">
        <v>68</v>
      </c>
      <c r="H600" t="s">
        <v>40</v>
      </c>
      <c r="I600">
        <v>0</v>
      </c>
      <c r="J600">
        <v>22312</v>
      </c>
      <c r="K600">
        <v>0</v>
      </c>
      <c r="L600">
        <v>0</v>
      </c>
      <c r="M600">
        <v>0</v>
      </c>
      <c r="N600">
        <v>755</v>
      </c>
      <c r="O600">
        <v>34</v>
      </c>
      <c r="P600" t="s">
        <v>32</v>
      </c>
      <c r="Q600">
        <v>2943449</v>
      </c>
      <c r="R600" t="s">
        <v>26</v>
      </c>
      <c r="S600" t="s">
        <v>27</v>
      </c>
      <c r="T600" t="s">
        <v>34</v>
      </c>
    </row>
    <row r="601" spans="1:20" x14ac:dyDescent="0.3">
      <c r="A601" t="s">
        <v>907</v>
      </c>
      <c r="B601" s="1">
        <v>45747</v>
      </c>
      <c r="C601" s="1" t="s">
        <v>1323</v>
      </c>
      <c r="D601" t="s">
        <v>291</v>
      </c>
      <c r="E601" t="s">
        <v>1338</v>
      </c>
      <c r="F601" t="s">
        <v>64</v>
      </c>
      <c r="G601" t="s">
        <v>39</v>
      </c>
      <c r="H601" t="s">
        <v>31</v>
      </c>
      <c r="I601">
        <v>0</v>
      </c>
      <c r="J601">
        <v>0</v>
      </c>
      <c r="K601">
        <v>485629</v>
      </c>
      <c r="L601">
        <v>0</v>
      </c>
      <c r="M601">
        <v>0</v>
      </c>
      <c r="N601">
        <v>600</v>
      </c>
      <c r="O601">
        <v>64</v>
      </c>
      <c r="P601" t="s">
        <v>32</v>
      </c>
      <c r="Q601">
        <v>1776223</v>
      </c>
      <c r="R601" t="s">
        <v>26</v>
      </c>
      <c r="S601" t="s">
        <v>33</v>
      </c>
      <c r="T601" t="s">
        <v>28</v>
      </c>
    </row>
    <row r="602" spans="1:20" x14ac:dyDescent="0.3">
      <c r="A602" t="s">
        <v>908</v>
      </c>
      <c r="B602" s="1">
        <v>45687</v>
      </c>
      <c r="C602" s="1" t="s">
        <v>1321</v>
      </c>
      <c r="D602" t="s">
        <v>700</v>
      </c>
      <c r="E602" t="s">
        <v>21</v>
      </c>
      <c r="F602" t="s">
        <v>21</v>
      </c>
      <c r="G602" t="s">
        <v>23</v>
      </c>
      <c r="H602" t="s">
        <v>24</v>
      </c>
      <c r="I602">
        <v>0</v>
      </c>
      <c r="J602">
        <v>0</v>
      </c>
      <c r="K602">
        <v>0</v>
      </c>
      <c r="L602">
        <v>0</v>
      </c>
      <c r="M602">
        <v>9161.8799999999992</v>
      </c>
      <c r="N602">
        <v>596</v>
      </c>
      <c r="O602">
        <v>38</v>
      </c>
      <c r="P602" t="s">
        <v>25</v>
      </c>
      <c r="Q602">
        <v>2468546</v>
      </c>
      <c r="R602" t="s">
        <v>49</v>
      </c>
      <c r="S602" t="s">
        <v>27</v>
      </c>
      <c r="T602" t="s">
        <v>41</v>
      </c>
    </row>
    <row r="603" spans="1:20" x14ac:dyDescent="0.3">
      <c r="A603" t="s">
        <v>909</v>
      </c>
      <c r="B603" s="1">
        <v>45812</v>
      </c>
      <c r="C603" s="1" t="s">
        <v>1326</v>
      </c>
      <c r="D603" t="s">
        <v>110</v>
      </c>
      <c r="E603" t="s">
        <v>37</v>
      </c>
      <c r="F603" t="s">
        <v>64</v>
      </c>
      <c r="G603" t="s">
        <v>23</v>
      </c>
      <c r="H603" t="s">
        <v>40</v>
      </c>
      <c r="I603">
        <v>0</v>
      </c>
      <c r="J603">
        <v>95691</v>
      </c>
      <c r="K603">
        <v>0</v>
      </c>
      <c r="L603">
        <v>0</v>
      </c>
      <c r="M603">
        <v>0</v>
      </c>
      <c r="N603">
        <v>484</v>
      </c>
      <c r="O603">
        <v>47</v>
      </c>
      <c r="P603" t="s">
        <v>25</v>
      </c>
      <c r="Q603">
        <v>491930</v>
      </c>
      <c r="R603" t="s">
        <v>26</v>
      </c>
      <c r="S603" t="s">
        <v>27</v>
      </c>
      <c r="T603" t="s">
        <v>28</v>
      </c>
    </row>
    <row r="604" spans="1:20" x14ac:dyDescent="0.3">
      <c r="A604" t="s">
        <v>910</v>
      </c>
      <c r="B604" s="1">
        <v>45774</v>
      </c>
      <c r="C604" s="1" t="s">
        <v>1324</v>
      </c>
      <c r="D604" t="s">
        <v>157</v>
      </c>
      <c r="E604" t="s">
        <v>21</v>
      </c>
      <c r="F604" t="s">
        <v>64</v>
      </c>
      <c r="G604" t="s">
        <v>68</v>
      </c>
      <c r="H604" t="s">
        <v>56</v>
      </c>
      <c r="I604">
        <v>45310</v>
      </c>
      <c r="J604">
        <v>0</v>
      </c>
      <c r="K604">
        <v>0</v>
      </c>
      <c r="L604">
        <v>0</v>
      </c>
      <c r="M604">
        <v>0</v>
      </c>
      <c r="N604">
        <v>308</v>
      </c>
      <c r="O604">
        <v>62</v>
      </c>
      <c r="P604" t="s">
        <v>32</v>
      </c>
      <c r="Q604">
        <v>217092</v>
      </c>
      <c r="R604" t="s">
        <v>49</v>
      </c>
      <c r="S604" t="s">
        <v>27</v>
      </c>
      <c r="T604" t="s">
        <v>34</v>
      </c>
    </row>
    <row r="605" spans="1:20" x14ac:dyDescent="0.3">
      <c r="A605" t="s">
        <v>911</v>
      </c>
      <c r="B605" s="1">
        <v>45688</v>
      </c>
      <c r="C605" s="1" t="s">
        <v>1321</v>
      </c>
      <c r="D605" t="s">
        <v>553</v>
      </c>
      <c r="E605" t="s">
        <v>55</v>
      </c>
      <c r="F605" t="s">
        <v>38</v>
      </c>
      <c r="G605" t="s">
        <v>39</v>
      </c>
      <c r="H605" t="s">
        <v>31</v>
      </c>
      <c r="I605">
        <v>0</v>
      </c>
      <c r="J605">
        <v>0</v>
      </c>
      <c r="K605">
        <v>98409</v>
      </c>
      <c r="L605">
        <v>0</v>
      </c>
      <c r="M605">
        <v>0</v>
      </c>
      <c r="N605">
        <v>523</v>
      </c>
      <c r="O605">
        <v>57</v>
      </c>
      <c r="P605" t="s">
        <v>32</v>
      </c>
      <c r="Q605">
        <v>2373880</v>
      </c>
      <c r="R605" t="s">
        <v>49</v>
      </c>
      <c r="S605" t="s">
        <v>33</v>
      </c>
      <c r="T605" t="s">
        <v>34</v>
      </c>
    </row>
    <row r="606" spans="1:20" x14ac:dyDescent="0.3">
      <c r="A606" t="s">
        <v>912</v>
      </c>
      <c r="B606" s="1">
        <v>45900</v>
      </c>
      <c r="C606" s="1" t="s">
        <v>1328</v>
      </c>
      <c r="D606" t="s">
        <v>219</v>
      </c>
      <c r="E606" t="s">
        <v>63</v>
      </c>
      <c r="F606" t="s">
        <v>38</v>
      </c>
      <c r="G606" t="s">
        <v>39</v>
      </c>
      <c r="H606" t="s">
        <v>52</v>
      </c>
      <c r="I606">
        <v>0</v>
      </c>
      <c r="J606">
        <v>0</v>
      </c>
      <c r="K606">
        <v>0</v>
      </c>
      <c r="L606">
        <v>35627</v>
      </c>
      <c r="M606">
        <v>0</v>
      </c>
      <c r="N606">
        <v>697</v>
      </c>
      <c r="O606">
        <v>64</v>
      </c>
      <c r="P606" t="s">
        <v>25</v>
      </c>
      <c r="Q606">
        <v>2593014</v>
      </c>
      <c r="R606" t="s">
        <v>49</v>
      </c>
      <c r="S606" t="s">
        <v>33</v>
      </c>
      <c r="T606" t="s">
        <v>41</v>
      </c>
    </row>
    <row r="607" spans="1:20" x14ac:dyDescent="0.3">
      <c r="A607" t="s">
        <v>913</v>
      </c>
      <c r="B607" s="1">
        <v>45734</v>
      </c>
      <c r="C607" s="1" t="s">
        <v>1323</v>
      </c>
      <c r="D607" t="s">
        <v>914</v>
      </c>
      <c r="E607" t="s">
        <v>63</v>
      </c>
      <c r="F607" t="s">
        <v>44</v>
      </c>
      <c r="G607" t="s">
        <v>23</v>
      </c>
      <c r="H607" t="s">
        <v>31</v>
      </c>
      <c r="I607">
        <v>0</v>
      </c>
      <c r="J607">
        <v>0</v>
      </c>
      <c r="K607">
        <v>1341867</v>
      </c>
      <c r="L607">
        <v>0</v>
      </c>
      <c r="M607">
        <v>0</v>
      </c>
      <c r="N607">
        <v>793</v>
      </c>
      <c r="O607">
        <v>48</v>
      </c>
      <c r="P607" t="s">
        <v>32</v>
      </c>
      <c r="Q607">
        <v>1175244</v>
      </c>
      <c r="R607" t="s">
        <v>49</v>
      </c>
      <c r="S607" t="s">
        <v>65</v>
      </c>
      <c r="T607" t="s">
        <v>60</v>
      </c>
    </row>
    <row r="608" spans="1:20" x14ac:dyDescent="0.3">
      <c r="A608" t="s">
        <v>915</v>
      </c>
      <c r="B608" s="1">
        <v>45910</v>
      </c>
      <c r="C608" s="1" t="s">
        <v>1329</v>
      </c>
      <c r="D608" t="s">
        <v>754</v>
      </c>
      <c r="E608" t="s">
        <v>37</v>
      </c>
      <c r="F608" t="s">
        <v>64</v>
      </c>
      <c r="G608" t="s">
        <v>68</v>
      </c>
      <c r="H608" t="s">
        <v>52</v>
      </c>
      <c r="I608">
        <v>0</v>
      </c>
      <c r="J608">
        <v>0</v>
      </c>
      <c r="K608">
        <v>0</v>
      </c>
      <c r="L608">
        <v>11939</v>
      </c>
      <c r="M608">
        <v>0</v>
      </c>
      <c r="N608">
        <v>665</v>
      </c>
      <c r="O608">
        <v>54</v>
      </c>
      <c r="P608" t="s">
        <v>25</v>
      </c>
      <c r="Q608">
        <v>928974</v>
      </c>
      <c r="R608" t="s">
        <v>26</v>
      </c>
      <c r="S608" t="s">
        <v>71</v>
      </c>
      <c r="T608" t="s">
        <v>34</v>
      </c>
    </row>
    <row r="609" spans="1:20" x14ac:dyDescent="0.3">
      <c r="A609" t="s">
        <v>916</v>
      </c>
      <c r="B609" s="1">
        <v>45918</v>
      </c>
      <c r="C609" s="1" t="s">
        <v>1329</v>
      </c>
      <c r="D609" t="s">
        <v>488</v>
      </c>
      <c r="E609" t="s">
        <v>55</v>
      </c>
      <c r="F609" t="s">
        <v>38</v>
      </c>
      <c r="G609" t="s">
        <v>39</v>
      </c>
      <c r="H609" t="s">
        <v>56</v>
      </c>
      <c r="I609">
        <v>112803</v>
      </c>
      <c r="J609">
        <v>0</v>
      </c>
      <c r="K609">
        <v>0</v>
      </c>
      <c r="L609">
        <v>0</v>
      </c>
      <c r="M609">
        <v>0</v>
      </c>
      <c r="N609">
        <v>386</v>
      </c>
      <c r="O609">
        <v>47</v>
      </c>
      <c r="P609" t="s">
        <v>25</v>
      </c>
      <c r="Q609">
        <v>2671349</v>
      </c>
      <c r="R609" t="s">
        <v>49</v>
      </c>
      <c r="S609" t="s">
        <v>27</v>
      </c>
      <c r="T609" t="s">
        <v>28</v>
      </c>
    </row>
    <row r="610" spans="1:20" x14ac:dyDescent="0.3">
      <c r="A610" t="s">
        <v>917</v>
      </c>
      <c r="B610" s="1">
        <v>45785</v>
      </c>
      <c r="C610" s="1" t="s">
        <v>1325</v>
      </c>
      <c r="D610" t="s">
        <v>114</v>
      </c>
      <c r="E610" t="s">
        <v>77</v>
      </c>
      <c r="F610" t="s">
        <v>64</v>
      </c>
      <c r="G610" t="s">
        <v>59</v>
      </c>
      <c r="H610" t="s">
        <v>31</v>
      </c>
      <c r="I610">
        <v>0</v>
      </c>
      <c r="J610">
        <v>0</v>
      </c>
      <c r="K610">
        <v>1889983</v>
      </c>
      <c r="L610">
        <v>0</v>
      </c>
      <c r="M610">
        <v>0</v>
      </c>
      <c r="N610">
        <v>548</v>
      </c>
      <c r="O610">
        <v>62</v>
      </c>
      <c r="P610" t="s">
        <v>25</v>
      </c>
      <c r="Q610">
        <v>2712632</v>
      </c>
      <c r="R610" t="s">
        <v>49</v>
      </c>
      <c r="S610" t="s">
        <v>33</v>
      </c>
      <c r="T610" t="s">
        <v>60</v>
      </c>
    </row>
    <row r="611" spans="1:20" x14ac:dyDescent="0.3">
      <c r="A611" t="s">
        <v>918</v>
      </c>
      <c r="B611" s="1">
        <v>45962</v>
      </c>
      <c r="C611" s="1" t="s">
        <v>1331</v>
      </c>
      <c r="D611" t="s">
        <v>150</v>
      </c>
      <c r="E611" t="s">
        <v>55</v>
      </c>
      <c r="F611" t="s">
        <v>38</v>
      </c>
      <c r="G611" t="s">
        <v>23</v>
      </c>
      <c r="H611" t="s">
        <v>40</v>
      </c>
      <c r="I611">
        <v>0</v>
      </c>
      <c r="J611">
        <v>40559</v>
      </c>
      <c r="K611">
        <v>0</v>
      </c>
      <c r="L611">
        <v>0</v>
      </c>
      <c r="M611">
        <v>0</v>
      </c>
      <c r="N611">
        <v>365</v>
      </c>
      <c r="O611">
        <v>19</v>
      </c>
      <c r="P611" t="s">
        <v>32</v>
      </c>
      <c r="Q611">
        <v>2310131</v>
      </c>
      <c r="R611" t="s">
        <v>26</v>
      </c>
      <c r="S611" t="s">
        <v>27</v>
      </c>
      <c r="T611" t="s">
        <v>45</v>
      </c>
    </row>
    <row r="612" spans="1:20" x14ac:dyDescent="0.3">
      <c r="A612" t="s">
        <v>919</v>
      </c>
      <c r="B612" s="1">
        <v>45988</v>
      </c>
      <c r="C612" s="1" t="s">
        <v>1331</v>
      </c>
      <c r="D612" t="s">
        <v>784</v>
      </c>
      <c r="E612" t="s">
        <v>48</v>
      </c>
      <c r="F612" t="s">
        <v>38</v>
      </c>
      <c r="G612" t="s">
        <v>39</v>
      </c>
      <c r="H612" t="s">
        <v>24</v>
      </c>
      <c r="I612">
        <v>0</v>
      </c>
      <c r="J612">
        <v>0</v>
      </c>
      <c r="K612">
        <v>0</v>
      </c>
      <c r="L612">
        <v>0</v>
      </c>
      <c r="M612">
        <v>3417.1</v>
      </c>
      <c r="N612">
        <v>539</v>
      </c>
      <c r="O612">
        <v>48</v>
      </c>
      <c r="P612" t="s">
        <v>32</v>
      </c>
      <c r="Q612">
        <v>700398</v>
      </c>
      <c r="R612" t="s">
        <v>26</v>
      </c>
      <c r="S612" t="s">
        <v>27</v>
      </c>
      <c r="T612" t="s">
        <v>28</v>
      </c>
    </row>
    <row r="613" spans="1:20" x14ac:dyDescent="0.3">
      <c r="A613" t="s">
        <v>920</v>
      </c>
      <c r="B613" s="1">
        <v>45934</v>
      </c>
      <c r="C613" s="1" t="s">
        <v>1330</v>
      </c>
      <c r="D613" t="s">
        <v>914</v>
      </c>
      <c r="E613" t="s">
        <v>37</v>
      </c>
      <c r="F613" t="s">
        <v>44</v>
      </c>
      <c r="G613" t="s">
        <v>59</v>
      </c>
      <c r="H613" t="s">
        <v>56</v>
      </c>
      <c r="I613">
        <v>158821</v>
      </c>
      <c r="J613">
        <v>0</v>
      </c>
      <c r="K613">
        <v>0</v>
      </c>
      <c r="L613">
        <v>0</v>
      </c>
      <c r="M613">
        <v>0</v>
      </c>
      <c r="N613">
        <v>704</v>
      </c>
      <c r="O613">
        <v>69</v>
      </c>
      <c r="P613" t="s">
        <v>25</v>
      </c>
      <c r="Q613">
        <v>454596</v>
      </c>
      <c r="R613" t="s">
        <v>49</v>
      </c>
      <c r="S613" t="s">
        <v>27</v>
      </c>
      <c r="T613" t="s">
        <v>60</v>
      </c>
    </row>
    <row r="614" spans="1:20" x14ac:dyDescent="0.3">
      <c r="A614" t="s">
        <v>921</v>
      </c>
      <c r="B614" s="1">
        <v>45740</v>
      </c>
      <c r="C614" s="1" t="s">
        <v>1323</v>
      </c>
      <c r="D614" t="s">
        <v>362</v>
      </c>
      <c r="E614" t="s">
        <v>48</v>
      </c>
      <c r="F614" t="s">
        <v>21</v>
      </c>
      <c r="G614" t="s">
        <v>39</v>
      </c>
      <c r="H614" t="s">
        <v>56</v>
      </c>
      <c r="I614">
        <v>64915</v>
      </c>
      <c r="J614">
        <v>0</v>
      </c>
      <c r="K614">
        <v>0</v>
      </c>
      <c r="L614">
        <v>0</v>
      </c>
      <c r="M614">
        <v>0</v>
      </c>
      <c r="N614">
        <v>612</v>
      </c>
      <c r="O614">
        <v>36</v>
      </c>
      <c r="P614" t="s">
        <v>25</v>
      </c>
      <c r="Q614">
        <v>1608394</v>
      </c>
      <c r="R614" t="s">
        <v>49</v>
      </c>
      <c r="S614" t="s">
        <v>27</v>
      </c>
      <c r="T614" t="s">
        <v>28</v>
      </c>
    </row>
    <row r="615" spans="1:20" x14ac:dyDescent="0.3">
      <c r="A615" t="s">
        <v>922</v>
      </c>
      <c r="B615" s="1">
        <v>45944</v>
      </c>
      <c r="C615" s="1" t="s">
        <v>1330</v>
      </c>
      <c r="D615" t="s">
        <v>436</v>
      </c>
      <c r="E615" t="s">
        <v>77</v>
      </c>
      <c r="F615" t="s">
        <v>44</v>
      </c>
      <c r="G615" t="s">
        <v>39</v>
      </c>
      <c r="H615" t="s">
        <v>52</v>
      </c>
      <c r="I615">
        <v>0</v>
      </c>
      <c r="J615">
        <v>0</v>
      </c>
      <c r="K615">
        <v>0</v>
      </c>
      <c r="L615">
        <v>17475</v>
      </c>
      <c r="M615">
        <v>0</v>
      </c>
      <c r="N615">
        <v>565</v>
      </c>
      <c r="O615">
        <v>18</v>
      </c>
      <c r="P615" t="s">
        <v>32</v>
      </c>
      <c r="Q615">
        <v>803800</v>
      </c>
      <c r="R615" t="s">
        <v>26</v>
      </c>
      <c r="S615" t="s">
        <v>74</v>
      </c>
      <c r="T615" t="s">
        <v>45</v>
      </c>
    </row>
    <row r="616" spans="1:20" x14ac:dyDescent="0.3">
      <c r="A616" t="s">
        <v>923</v>
      </c>
      <c r="B616" s="1">
        <v>45904</v>
      </c>
      <c r="C616" s="1" t="s">
        <v>1329</v>
      </c>
      <c r="D616" t="s">
        <v>165</v>
      </c>
      <c r="E616" t="s">
        <v>21</v>
      </c>
      <c r="F616" t="s">
        <v>22</v>
      </c>
      <c r="G616" t="s">
        <v>59</v>
      </c>
      <c r="H616" t="s">
        <v>31</v>
      </c>
      <c r="I616">
        <v>0</v>
      </c>
      <c r="J616">
        <v>0</v>
      </c>
      <c r="K616">
        <v>1398471</v>
      </c>
      <c r="L616">
        <v>0</v>
      </c>
      <c r="M616">
        <v>0</v>
      </c>
      <c r="N616">
        <v>657</v>
      </c>
      <c r="O616">
        <v>68</v>
      </c>
      <c r="P616" t="s">
        <v>25</v>
      </c>
      <c r="Q616">
        <v>1098033</v>
      </c>
      <c r="R616" t="s">
        <v>49</v>
      </c>
      <c r="S616" t="s">
        <v>33</v>
      </c>
      <c r="T616" t="s">
        <v>28</v>
      </c>
    </row>
    <row r="617" spans="1:20" x14ac:dyDescent="0.3">
      <c r="A617" t="s">
        <v>924</v>
      </c>
      <c r="B617" s="1">
        <v>45891</v>
      </c>
      <c r="C617" s="1" t="s">
        <v>1328</v>
      </c>
      <c r="D617" t="s">
        <v>266</v>
      </c>
      <c r="E617" t="s">
        <v>77</v>
      </c>
      <c r="F617" t="s">
        <v>21</v>
      </c>
      <c r="G617" t="s">
        <v>23</v>
      </c>
      <c r="H617" t="s">
        <v>52</v>
      </c>
      <c r="I617">
        <v>0</v>
      </c>
      <c r="J617">
        <v>0</v>
      </c>
      <c r="K617">
        <v>0</v>
      </c>
      <c r="L617">
        <v>18107</v>
      </c>
      <c r="M617">
        <v>0</v>
      </c>
      <c r="N617">
        <v>548</v>
      </c>
      <c r="O617">
        <v>50</v>
      </c>
      <c r="P617" t="s">
        <v>25</v>
      </c>
      <c r="Q617">
        <v>1232405</v>
      </c>
      <c r="R617" t="s">
        <v>49</v>
      </c>
      <c r="S617" t="s">
        <v>71</v>
      </c>
      <c r="T617" t="s">
        <v>60</v>
      </c>
    </row>
    <row r="618" spans="1:20" x14ac:dyDescent="0.3">
      <c r="A618" t="s">
        <v>925</v>
      </c>
      <c r="B618" s="1">
        <v>45788</v>
      </c>
      <c r="C618" s="1" t="s">
        <v>1325</v>
      </c>
      <c r="D618" t="s">
        <v>319</v>
      </c>
      <c r="E618" t="s">
        <v>48</v>
      </c>
      <c r="F618" t="s">
        <v>38</v>
      </c>
      <c r="G618" t="s">
        <v>23</v>
      </c>
      <c r="H618" t="s">
        <v>31</v>
      </c>
      <c r="I618">
        <v>0</v>
      </c>
      <c r="J618">
        <v>0</v>
      </c>
      <c r="K618">
        <v>1359538</v>
      </c>
      <c r="L618">
        <v>0</v>
      </c>
      <c r="M618">
        <v>0</v>
      </c>
      <c r="N618">
        <v>546</v>
      </c>
      <c r="O618">
        <v>46</v>
      </c>
      <c r="P618" t="s">
        <v>32</v>
      </c>
      <c r="Q618">
        <v>2110015</v>
      </c>
      <c r="R618" t="s">
        <v>49</v>
      </c>
      <c r="S618" t="s">
        <v>33</v>
      </c>
      <c r="T618" t="s">
        <v>34</v>
      </c>
    </row>
    <row r="619" spans="1:20" x14ac:dyDescent="0.3">
      <c r="A619" t="s">
        <v>926</v>
      </c>
      <c r="B619" s="1">
        <v>45695</v>
      </c>
      <c r="C619" s="1" t="s">
        <v>1322</v>
      </c>
      <c r="D619" t="s">
        <v>237</v>
      </c>
      <c r="E619" t="s">
        <v>21</v>
      </c>
      <c r="F619" t="s">
        <v>22</v>
      </c>
      <c r="G619" t="s">
        <v>39</v>
      </c>
      <c r="H619" t="s">
        <v>56</v>
      </c>
      <c r="I619">
        <v>105469</v>
      </c>
      <c r="J619">
        <v>0</v>
      </c>
      <c r="K619">
        <v>0</v>
      </c>
      <c r="L619">
        <v>0</v>
      </c>
      <c r="M619">
        <v>0</v>
      </c>
      <c r="N619">
        <v>763</v>
      </c>
      <c r="O619">
        <v>26</v>
      </c>
      <c r="P619" t="s">
        <v>32</v>
      </c>
      <c r="Q619">
        <v>426212</v>
      </c>
      <c r="R619" t="s">
        <v>26</v>
      </c>
      <c r="S619" t="s">
        <v>27</v>
      </c>
      <c r="T619" t="s">
        <v>45</v>
      </c>
    </row>
    <row r="620" spans="1:20" x14ac:dyDescent="0.3">
      <c r="A620" t="s">
        <v>927</v>
      </c>
      <c r="B620" s="1">
        <v>45785</v>
      </c>
      <c r="C620" s="1" t="s">
        <v>1325</v>
      </c>
      <c r="D620" t="s">
        <v>436</v>
      </c>
      <c r="E620" t="s">
        <v>77</v>
      </c>
      <c r="F620" t="s">
        <v>44</v>
      </c>
      <c r="G620" t="s">
        <v>23</v>
      </c>
      <c r="H620" t="s">
        <v>24</v>
      </c>
      <c r="I620">
        <v>0</v>
      </c>
      <c r="J620">
        <v>0</v>
      </c>
      <c r="K620">
        <v>0</v>
      </c>
      <c r="L620">
        <v>0</v>
      </c>
      <c r="M620">
        <v>283.29000000000002</v>
      </c>
      <c r="N620">
        <v>831</v>
      </c>
      <c r="O620">
        <v>53</v>
      </c>
      <c r="P620" t="s">
        <v>25</v>
      </c>
      <c r="Q620">
        <v>1991142</v>
      </c>
      <c r="R620" t="s">
        <v>49</v>
      </c>
      <c r="S620" t="s">
        <v>27</v>
      </c>
      <c r="T620" t="s">
        <v>60</v>
      </c>
    </row>
    <row r="621" spans="1:20" x14ac:dyDescent="0.3">
      <c r="A621" t="s">
        <v>928</v>
      </c>
      <c r="B621" s="1">
        <v>45692</v>
      </c>
      <c r="C621" s="1" t="s">
        <v>1322</v>
      </c>
      <c r="D621" t="s">
        <v>658</v>
      </c>
      <c r="E621" t="s">
        <v>77</v>
      </c>
      <c r="F621" t="s">
        <v>64</v>
      </c>
      <c r="G621" t="s">
        <v>39</v>
      </c>
      <c r="H621" t="s">
        <v>40</v>
      </c>
      <c r="I621">
        <v>0</v>
      </c>
      <c r="J621">
        <v>76031</v>
      </c>
      <c r="K621">
        <v>0</v>
      </c>
      <c r="L621">
        <v>0</v>
      </c>
      <c r="M621">
        <v>0</v>
      </c>
      <c r="N621">
        <v>799</v>
      </c>
      <c r="O621">
        <v>61</v>
      </c>
      <c r="P621" t="s">
        <v>25</v>
      </c>
      <c r="Q621">
        <v>1045647</v>
      </c>
      <c r="R621" t="s">
        <v>26</v>
      </c>
      <c r="S621" t="s">
        <v>27</v>
      </c>
      <c r="T621" t="s">
        <v>28</v>
      </c>
    </row>
    <row r="622" spans="1:20" x14ac:dyDescent="0.3">
      <c r="A622" t="s">
        <v>929</v>
      </c>
      <c r="B622" s="1">
        <v>45844</v>
      </c>
      <c r="C622" s="1" t="s">
        <v>1327</v>
      </c>
      <c r="D622" t="s">
        <v>305</v>
      </c>
      <c r="E622" t="s">
        <v>37</v>
      </c>
      <c r="F622" t="s">
        <v>38</v>
      </c>
      <c r="G622" t="s">
        <v>23</v>
      </c>
      <c r="H622" t="s">
        <v>31</v>
      </c>
      <c r="I622">
        <v>0</v>
      </c>
      <c r="J622">
        <v>0</v>
      </c>
      <c r="K622">
        <v>1585706</v>
      </c>
      <c r="L622">
        <v>0</v>
      </c>
      <c r="M622">
        <v>0</v>
      </c>
      <c r="N622">
        <v>797</v>
      </c>
      <c r="O622">
        <v>30</v>
      </c>
      <c r="P622" t="s">
        <v>32</v>
      </c>
      <c r="Q622">
        <v>1980652</v>
      </c>
      <c r="R622" t="s">
        <v>49</v>
      </c>
      <c r="S622" t="s">
        <v>33</v>
      </c>
      <c r="T622" t="s">
        <v>60</v>
      </c>
    </row>
    <row r="623" spans="1:20" x14ac:dyDescent="0.3">
      <c r="A623" t="s">
        <v>930</v>
      </c>
      <c r="B623" s="1">
        <v>45922</v>
      </c>
      <c r="C623" s="1" t="s">
        <v>1329</v>
      </c>
      <c r="D623" t="s">
        <v>931</v>
      </c>
      <c r="E623" t="s">
        <v>48</v>
      </c>
      <c r="F623" t="s">
        <v>21</v>
      </c>
      <c r="G623" t="s">
        <v>59</v>
      </c>
      <c r="H623" t="s">
        <v>31</v>
      </c>
      <c r="I623">
        <v>0</v>
      </c>
      <c r="J623">
        <v>0</v>
      </c>
      <c r="K623">
        <v>819696</v>
      </c>
      <c r="L623">
        <v>0</v>
      </c>
      <c r="M623">
        <v>0</v>
      </c>
      <c r="N623">
        <v>578</v>
      </c>
      <c r="O623">
        <v>23</v>
      </c>
      <c r="P623" t="s">
        <v>32</v>
      </c>
      <c r="Q623">
        <v>2729404</v>
      </c>
      <c r="R623" t="s">
        <v>49</v>
      </c>
      <c r="S623" t="s">
        <v>33</v>
      </c>
      <c r="T623" t="s">
        <v>45</v>
      </c>
    </row>
    <row r="624" spans="1:20" x14ac:dyDescent="0.3">
      <c r="A624" t="s">
        <v>932</v>
      </c>
      <c r="B624" s="1">
        <v>45979</v>
      </c>
      <c r="C624" s="1" t="s">
        <v>1331</v>
      </c>
      <c r="D624" t="s">
        <v>291</v>
      </c>
      <c r="E624" t="s">
        <v>48</v>
      </c>
      <c r="F624" t="s">
        <v>64</v>
      </c>
      <c r="G624" t="s">
        <v>23</v>
      </c>
      <c r="H624" t="s">
        <v>31</v>
      </c>
      <c r="I624">
        <v>0</v>
      </c>
      <c r="J624">
        <v>0</v>
      </c>
      <c r="K624">
        <v>560639</v>
      </c>
      <c r="L624">
        <v>0</v>
      </c>
      <c r="M624">
        <v>0</v>
      </c>
      <c r="N624">
        <v>695</v>
      </c>
      <c r="O624">
        <v>36</v>
      </c>
      <c r="P624" t="s">
        <v>25</v>
      </c>
      <c r="Q624">
        <v>2022646</v>
      </c>
      <c r="R624" t="s">
        <v>49</v>
      </c>
      <c r="S624" t="s">
        <v>65</v>
      </c>
      <c r="T624" t="s">
        <v>60</v>
      </c>
    </row>
    <row r="625" spans="1:20" x14ac:dyDescent="0.3">
      <c r="A625" t="s">
        <v>933</v>
      </c>
      <c r="B625" s="1">
        <v>46009</v>
      </c>
      <c r="C625" s="1" t="s">
        <v>1332</v>
      </c>
      <c r="D625" t="s">
        <v>258</v>
      </c>
      <c r="E625" t="s">
        <v>37</v>
      </c>
      <c r="F625" t="s">
        <v>21</v>
      </c>
      <c r="G625" t="s">
        <v>59</v>
      </c>
      <c r="H625" t="s">
        <v>31</v>
      </c>
      <c r="I625">
        <v>0</v>
      </c>
      <c r="J625">
        <v>0</v>
      </c>
      <c r="K625">
        <v>1453269</v>
      </c>
      <c r="L625">
        <v>0</v>
      </c>
      <c r="M625">
        <v>0</v>
      </c>
      <c r="N625">
        <v>312</v>
      </c>
      <c r="O625">
        <v>34</v>
      </c>
      <c r="P625" t="s">
        <v>25</v>
      </c>
      <c r="Q625">
        <v>204331</v>
      </c>
      <c r="R625" t="s">
        <v>49</v>
      </c>
      <c r="S625" t="s">
        <v>65</v>
      </c>
      <c r="T625" t="s">
        <v>45</v>
      </c>
    </row>
    <row r="626" spans="1:20" x14ac:dyDescent="0.3">
      <c r="A626" t="s">
        <v>934</v>
      </c>
      <c r="B626" s="1">
        <v>45875</v>
      </c>
      <c r="C626" s="1" t="s">
        <v>1328</v>
      </c>
      <c r="D626" t="s">
        <v>157</v>
      </c>
      <c r="E626" t="s">
        <v>21</v>
      </c>
      <c r="F626" t="s">
        <v>21</v>
      </c>
      <c r="G626" t="s">
        <v>68</v>
      </c>
      <c r="H626" t="s">
        <v>56</v>
      </c>
      <c r="I626">
        <v>26478</v>
      </c>
      <c r="J626">
        <v>0</v>
      </c>
      <c r="K626">
        <v>0</v>
      </c>
      <c r="L626">
        <v>0</v>
      </c>
      <c r="M626">
        <v>0</v>
      </c>
      <c r="N626">
        <v>876</v>
      </c>
      <c r="O626">
        <v>36</v>
      </c>
      <c r="P626" t="s">
        <v>32</v>
      </c>
      <c r="Q626">
        <v>1351091</v>
      </c>
      <c r="R626" t="s">
        <v>49</v>
      </c>
      <c r="S626" t="s">
        <v>27</v>
      </c>
      <c r="T626" t="s">
        <v>34</v>
      </c>
    </row>
    <row r="627" spans="1:20" x14ac:dyDescent="0.3">
      <c r="A627" t="s">
        <v>935</v>
      </c>
      <c r="B627" s="1">
        <v>45726</v>
      </c>
      <c r="C627" s="1" t="s">
        <v>1323</v>
      </c>
      <c r="D627" t="s">
        <v>673</v>
      </c>
      <c r="E627" t="s">
        <v>63</v>
      </c>
      <c r="F627" t="s">
        <v>21</v>
      </c>
      <c r="G627" t="s">
        <v>59</v>
      </c>
      <c r="H627" t="s">
        <v>40</v>
      </c>
      <c r="I627">
        <v>0</v>
      </c>
      <c r="J627">
        <v>19017</v>
      </c>
      <c r="K627">
        <v>0</v>
      </c>
      <c r="L627">
        <v>0</v>
      </c>
      <c r="M627">
        <v>0</v>
      </c>
      <c r="N627">
        <v>485</v>
      </c>
      <c r="O627">
        <v>65</v>
      </c>
      <c r="P627" t="s">
        <v>25</v>
      </c>
      <c r="Q627">
        <v>1103931</v>
      </c>
      <c r="R627" t="s">
        <v>26</v>
      </c>
      <c r="S627" t="s">
        <v>27</v>
      </c>
      <c r="T627" t="s">
        <v>41</v>
      </c>
    </row>
    <row r="628" spans="1:20" x14ac:dyDescent="0.3">
      <c r="A628" t="s">
        <v>936</v>
      </c>
      <c r="B628" s="1">
        <v>45924</v>
      </c>
      <c r="C628" s="1" t="s">
        <v>1329</v>
      </c>
      <c r="D628" t="s">
        <v>262</v>
      </c>
      <c r="E628" t="s">
        <v>37</v>
      </c>
      <c r="F628" t="s">
        <v>38</v>
      </c>
      <c r="G628" t="s">
        <v>23</v>
      </c>
      <c r="H628" t="s">
        <v>31</v>
      </c>
      <c r="I628">
        <v>0</v>
      </c>
      <c r="J628">
        <v>0</v>
      </c>
      <c r="K628">
        <v>825900</v>
      </c>
      <c r="L628">
        <v>0</v>
      </c>
      <c r="M628">
        <v>0</v>
      </c>
      <c r="N628">
        <v>431</v>
      </c>
      <c r="O628">
        <v>27</v>
      </c>
      <c r="P628" t="s">
        <v>32</v>
      </c>
      <c r="Q628">
        <v>1698962</v>
      </c>
      <c r="R628" t="s">
        <v>49</v>
      </c>
      <c r="S628" t="s">
        <v>33</v>
      </c>
      <c r="T628" t="s">
        <v>60</v>
      </c>
    </row>
    <row r="629" spans="1:20" x14ac:dyDescent="0.3">
      <c r="A629" t="s">
        <v>937</v>
      </c>
      <c r="B629" s="1">
        <v>45894</v>
      </c>
      <c r="C629" s="1" t="s">
        <v>1328</v>
      </c>
      <c r="D629" t="s">
        <v>251</v>
      </c>
      <c r="E629" t="s">
        <v>77</v>
      </c>
      <c r="F629" t="s">
        <v>64</v>
      </c>
      <c r="G629" t="s">
        <v>68</v>
      </c>
      <c r="H629" t="s">
        <v>31</v>
      </c>
      <c r="I629">
        <v>0</v>
      </c>
      <c r="J629">
        <v>0</v>
      </c>
      <c r="K629">
        <v>651298</v>
      </c>
      <c r="L629">
        <v>0</v>
      </c>
      <c r="M629">
        <v>0</v>
      </c>
      <c r="N629">
        <v>344</v>
      </c>
      <c r="O629">
        <v>40</v>
      </c>
      <c r="P629" t="s">
        <v>32</v>
      </c>
      <c r="Q629">
        <v>653613</v>
      </c>
      <c r="R629" t="s">
        <v>49</v>
      </c>
      <c r="S629" t="s">
        <v>33</v>
      </c>
      <c r="T629" t="s">
        <v>45</v>
      </c>
    </row>
    <row r="630" spans="1:20" x14ac:dyDescent="0.3">
      <c r="A630" t="s">
        <v>938</v>
      </c>
      <c r="B630" s="1">
        <v>45858</v>
      </c>
      <c r="C630" s="1" t="s">
        <v>1327</v>
      </c>
      <c r="D630" t="s">
        <v>414</v>
      </c>
      <c r="E630" t="s">
        <v>21</v>
      </c>
      <c r="F630" t="s">
        <v>38</v>
      </c>
      <c r="G630" t="s">
        <v>23</v>
      </c>
      <c r="H630" t="s">
        <v>31</v>
      </c>
      <c r="I630">
        <v>0</v>
      </c>
      <c r="J630">
        <v>0</v>
      </c>
      <c r="K630">
        <v>782373</v>
      </c>
      <c r="L630">
        <v>0</v>
      </c>
      <c r="M630">
        <v>0</v>
      </c>
      <c r="N630">
        <v>562</v>
      </c>
      <c r="O630">
        <v>27</v>
      </c>
      <c r="P630" t="s">
        <v>32</v>
      </c>
      <c r="Q630">
        <v>2689097</v>
      </c>
      <c r="R630" t="s">
        <v>26</v>
      </c>
      <c r="S630" t="s">
        <v>65</v>
      </c>
      <c r="T630" t="s">
        <v>41</v>
      </c>
    </row>
    <row r="631" spans="1:20" x14ac:dyDescent="0.3">
      <c r="A631" t="s">
        <v>939</v>
      </c>
      <c r="B631" s="1">
        <v>45855</v>
      </c>
      <c r="C631" s="1" t="s">
        <v>1327</v>
      </c>
      <c r="D631" t="s">
        <v>613</v>
      </c>
      <c r="E631" t="s">
        <v>77</v>
      </c>
      <c r="F631" t="s">
        <v>44</v>
      </c>
      <c r="G631" t="s">
        <v>23</v>
      </c>
      <c r="H631" t="s">
        <v>31</v>
      </c>
      <c r="I631">
        <v>0</v>
      </c>
      <c r="J631">
        <v>0</v>
      </c>
      <c r="K631">
        <v>1737331</v>
      </c>
      <c r="L631">
        <v>0</v>
      </c>
      <c r="M631">
        <v>0</v>
      </c>
      <c r="N631">
        <v>743</v>
      </c>
      <c r="O631">
        <v>54</v>
      </c>
      <c r="P631" t="s">
        <v>25</v>
      </c>
      <c r="Q631">
        <v>2415418</v>
      </c>
      <c r="R631" t="s">
        <v>26</v>
      </c>
      <c r="S631" t="s">
        <v>33</v>
      </c>
      <c r="T631" t="s">
        <v>28</v>
      </c>
    </row>
    <row r="632" spans="1:20" x14ac:dyDescent="0.3">
      <c r="A632" t="s">
        <v>940</v>
      </c>
      <c r="B632" s="1">
        <v>45738</v>
      </c>
      <c r="C632" s="1" t="s">
        <v>1323</v>
      </c>
      <c r="D632" t="s">
        <v>416</v>
      </c>
      <c r="E632" t="s">
        <v>55</v>
      </c>
      <c r="F632" t="s">
        <v>21</v>
      </c>
      <c r="G632" t="s">
        <v>68</v>
      </c>
      <c r="H632" t="s">
        <v>40</v>
      </c>
      <c r="I632">
        <v>0</v>
      </c>
      <c r="J632">
        <v>87828</v>
      </c>
      <c r="K632">
        <v>0</v>
      </c>
      <c r="L632">
        <v>0</v>
      </c>
      <c r="M632">
        <v>0</v>
      </c>
      <c r="N632">
        <v>776</v>
      </c>
      <c r="O632">
        <v>47</v>
      </c>
      <c r="P632" t="s">
        <v>25</v>
      </c>
      <c r="Q632">
        <v>2930082</v>
      </c>
      <c r="R632" t="s">
        <v>49</v>
      </c>
      <c r="S632" t="s">
        <v>27</v>
      </c>
      <c r="T632" t="s">
        <v>34</v>
      </c>
    </row>
    <row r="633" spans="1:20" x14ac:dyDescent="0.3">
      <c r="A633" t="s">
        <v>941</v>
      </c>
      <c r="B633" s="1">
        <v>45689</v>
      </c>
      <c r="C633" s="1" t="s">
        <v>1322</v>
      </c>
      <c r="D633" t="s">
        <v>87</v>
      </c>
      <c r="E633" t="s">
        <v>21</v>
      </c>
      <c r="F633" t="s">
        <v>38</v>
      </c>
      <c r="G633" t="s">
        <v>23</v>
      </c>
      <c r="H633" t="s">
        <v>40</v>
      </c>
      <c r="I633">
        <v>0</v>
      </c>
      <c r="J633">
        <v>75943</v>
      </c>
      <c r="K633">
        <v>0</v>
      </c>
      <c r="L633">
        <v>0</v>
      </c>
      <c r="M633">
        <v>0</v>
      </c>
      <c r="N633">
        <v>578</v>
      </c>
      <c r="O633">
        <v>28</v>
      </c>
      <c r="P633" t="s">
        <v>25</v>
      </c>
      <c r="Q633">
        <v>1888366</v>
      </c>
      <c r="R633" t="s">
        <v>26</v>
      </c>
      <c r="S633" t="s">
        <v>27</v>
      </c>
      <c r="T633" t="s">
        <v>60</v>
      </c>
    </row>
    <row r="634" spans="1:20" x14ac:dyDescent="0.3">
      <c r="A634" t="s">
        <v>942</v>
      </c>
      <c r="B634" s="1">
        <v>45947</v>
      </c>
      <c r="C634" s="1" t="s">
        <v>1330</v>
      </c>
      <c r="D634" t="s">
        <v>445</v>
      </c>
      <c r="E634" t="s">
        <v>48</v>
      </c>
      <c r="F634" t="s">
        <v>44</v>
      </c>
      <c r="G634" t="s">
        <v>23</v>
      </c>
      <c r="H634" t="s">
        <v>31</v>
      </c>
      <c r="I634">
        <v>0</v>
      </c>
      <c r="J634">
        <v>0</v>
      </c>
      <c r="K634">
        <v>359384</v>
      </c>
      <c r="L634">
        <v>0</v>
      </c>
      <c r="M634">
        <v>0</v>
      </c>
      <c r="N634">
        <v>815</v>
      </c>
      <c r="O634">
        <v>48</v>
      </c>
      <c r="P634" t="s">
        <v>25</v>
      </c>
      <c r="Q634">
        <v>2826298</v>
      </c>
      <c r="R634" t="s">
        <v>26</v>
      </c>
      <c r="S634" t="s">
        <v>33</v>
      </c>
      <c r="T634" t="s">
        <v>41</v>
      </c>
    </row>
    <row r="635" spans="1:20" x14ac:dyDescent="0.3">
      <c r="A635" t="s">
        <v>943</v>
      </c>
      <c r="B635" s="1">
        <v>45853</v>
      </c>
      <c r="C635" s="1" t="s">
        <v>1327</v>
      </c>
      <c r="D635" t="s">
        <v>564</v>
      </c>
      <c r="E635" t="s">
        <v>63</v>
      </c>
      <c r="F635" t="s">
        <v>22</v>
      </c>
      <c r="G635" t="s">
        <v>59</v>
      </c>
      <c r="H635" t="s">
        <v>40</v>
      </c>
      <c r="I635">
        <v>0</v>
      </c>
      <c r="J635">
        <v>26742</v>
      </c>
      <c r="K635">
        <v>0</v>
      </c>
      <c r="L635">
        <v>0</v>
      </c>
      <c r="M635">
        <v>0</v>
      </c>
      <c r="N635">
        <v>341</v>
      </c>
      <c r="O635">
        <v>29</v>
      </c>
      <c r="P635" t="s">
        <v>32</v>
      </c>
      <c r="Q635">
        <v>1013516</v>
      </c>
      <c r="R635" t="s">
        <v>49</v>
      </c>
      <c r="S635" t="s">
        <v>27</v>
      </c>
      <c r="T635" t="s">
        <v>41</v>
      </c>
    </row>
    <row r="636" spans="1:20" x14ac:dyDescent="0.3">
      <c r="A636" t="s">
        <v>944</v>
      </c>
      <c r="B636" s="1">
        <v>45791</v>
      </c>
      <c r="C636" s="1" t="s">
        <v>1325</v>
      </c>
      <c r="D636" t="s">
        <v>945</v>
      </c>
      <c r="E636" t="s">
        <v>48</v>
      </c>
      <c r="F636" t="s">
        <v>44</v>
      </c>
      <c r="G636" t="s">
        <v>68</v>
      </c>
      <c r="H636" t="s">
        <v>52</v>
      </c>
      <c r="I636">
        <v>0</v>
      </c>
      <c r="J636">
        <v>0</v>
      </c>
      <c r="K636">
        <v>0</v>
      </c>
      <c r="L636">
        <v>20102</v>
      </c>
      <c r="M636">
        <v>0</v>
      </c>
      <c r="N636">
        <v>522</v>
      </c>
      <c r="O636">
        <v>62</v>
      </c>
      <c r="P636" t="s">
        <v>32</v>
      </c>
      <c r="Q636">
        <v>2182892</v>
      </c>
      <c r="R636" t="s">
        <v>49</v>
      </c>
      <c r="S636" t="s">
        <v>33</v>
      </c>
      <c r="T636" t="s">
        <v>60</v>
      </c>
    </row>
    <row r="637" spans="1:20" x14ac:dyDescent="0.3">
      <c r="A637" t="s">
        <v>946</v>
      </c>
      <c r="B637" s="1">
        <v>45898</v>
      </c>
      <c r="C637" s="1" t="s">
        <v>1328</v>
      </c>
      <c r="D637" t="s">
        <v>606</v>
      </c>
      <c r="E637" t="s">
        <v>55</v>
      </c>
      <c r="F637" t="s">
        <v>21</v>
      </c>
      <c r="G637" t="s">
        <v>68</v>
      </c>
      <c r="H637" t="s">
        <v>24</v>
      </c>
      <c r="I637">
        <v>0</v>
      </c>
      <c r="J637">
        <v>0</v>
      </c>
      <c r="K637">
        <v>0</v>
      </c>
      <c r="L637">
        <v>0</v>
      </c>
      <c r="M637">
        <v>5654.18</v>
      </c>
      <c r="N637">
        <v>591</v>
      </c>
      <c r="O637">
        <v>40</v>
      </c>
      <c r="P637" t="s">
        <v>25</v>
      </c>
      <c r="Q637">
        <v>2623726</v>
      </c>
      <c r="R637" t="s">
        <v>49</v>
      </c>
      <c r="S637" t="s">
        <v>27</v>
      </c>
      <c r="T637" t="s">
        <v>41</v>
      </c>
    </row>
    <row r="638" spans="1:20" x14ac:dyDescent="0.3">
      <c r="A638" t="s">
        <v>947</v>
      </c>
      <c r="B638" s="1">
        <v>45794</v>
      </c>
      <c r="C638" s="1" t="s">
        <v>1325</v>
      </c>
      <c r="D638" t="s">
        <v>337</v>
      </c>
      <c r="E638" t="s">
        <v>21</v>
      </c>
      <c r="F638" t="s">
        <v>38</v>
      </c>
      <c r="G638" t="s">
        <v>23</v>
      </c>
      <c r="H638" t="s">
        <v>24</v>
      </c>
      <c r="I638">
        <v>0</v>
      </c>
      <c r="J638">
        <v>0</v>
      </c>
      <c r="K638">
        <v>0</v>
      </c>
      <c r="L638">
        <v>0</v>
      </c>
      <c r="M638">
        <v>1615.13</v>
      </c>
      <c r="N638">
        <v>335</v>
      </c>
      <c r="O638">
        <v>49</v>
      </c>
      <c r="P638" t="s">
        <v>32</v>
      </c>
      <c r="Q638">
        <v>1820710</v>
      </c>
      <c r="R638" t="s">
        <v>49</v>
      </c>
      <c r="S638" t="s">
        <v>27</v>
      </c>
      <c r="T638" t="s">
        <v>60</v>
      </c>
    </row>
    <row r="639" spans="1:20" x14ac:dyDescent="0.3">
      <c r="A639" t="s">
        <v>948</v>
      </c>
      <c r="B639" s="1">
        <v>45683</v>
      </c>
      <c r="C639" s="1" t="s">
        <v>1321</v>
      </c>
      <c r="D639" t="s">
        <v>509</v>
      </c>
      <c r="E639" t="s">
        <v>63</v>
      </c>
      <c r="F639" t="s">
        <v>22</v>
      </c>
      <c r="G639" t="s">
        <v>23</v>
      </c>
      <c r="H639" t="s">
        <v>52</v>
      </c>
      <c r="I639">
        <v>0</v>
      </c>
      <c r="J639">
        <v>0</v>
      </c>
      <c r="K639">
        <v>0</v>
      </c>
      <c r="L639">
        <v>29387</v>
      </c>
      <c r="M639">
        <v>0</v>
      </c>
      <c r="N639">
        <v>761</v>
      </c>
      <c r="O639">
        <v>27</v>
      </c>
      <c r="P639" t="s">
        <v>25</v>
      </c>
      <c r="Q639">
        <v>1569968</v>
      </c>
      <c r="R639" t="s">
        <v>49</v>
      </c>
      <c r="S639" t="s">
        <v>33</v>
      </c>
      <c r="T639" t="s">
        <v>60</v>
      </c>
    </row>
    <row r="640" spans="1:20" x14ac:dyDescent="0.3">
      <c r="A640" t="s">
        <v>949</v>
      </c>
      <c r="B640" s="1">
        <v>45809</v>
      </c>
      <c r="C640" s="1" t="s">
        <v>1326</v>
      </c>
      <c r="D640" t="s">
        <v>344</v>
      </c>
      <c r="E640" t="s">
        <v>55</v>
      </c>
      <c r="F640" t="s">
        <v>21</v>
      </c>
      <c r="G640" t="s">
        <v>23</v>
      </c>
      <c r="H640" t="s">
        <v>31</v>
      </c>
      <c r="I640">
        <v>0</v>
      </c>
      <c r="J640">
        <v>0</v>
      </c>
      <c r="K640">
        <v>925469</v>
      </c>
      <c r="L640">
        <v>0</v>
      </c>
      <c r="M640">
        <v>0</v>
      </c>
      <c r="N640">
        <v>783</v>
      </c>
      <c r="O640">
        <v>49</v>
      </c>
      <c r="P640" t="s">
        <v>32</v>
      </c>
      <c r="Q640">
        <v>2043049</v>
      </c>
      <c r="R640" t="s">
        <v>26</v>
      </c>
      <c r="S640" t="s">
        <v>33</v>
      </c>
      <c r="T640" t="s">
        <v>28</v>
      </c>
    </row>
    <row r="641" spans="1:20" x14ac:dyDescent="0.3">
      <c r="A641" t="s">
        <v>950</v>
      </c>
      <c r="B641" s="1">
        <v>45835</v>
      </c>
      <c r="C641" s="1" t="s">
        <v>1326</v>
      </c>
      <c r="D641" t="s">
        <v>784</v>
      </c>
      <c r="E641" t="s">
        <v>21</v>
      </c>
      <c r="F641" t="s">
        <v>38</v>
      </c>
      <c r="G641" t="s">
        <v>23</v>
      </c>
      <c r="H641" t="s">
        <v>52</v>
      </c>
      <c r="I641">
        <v>0</v>
      </c>
      <c r="J641">
        <v>0</v>
      </c>
      <c r="K641">
        <v>0</v>
      </c>
      <c r="L641">
        <v>19822</v>
      </c>
      <c r="M641">
        <v>0</v>
      </c>
      <c r="N641">
        <v>448</v>
      </c>
      <c r="O641">
        <v>36</v>
      </c>
      <c r="P641" t="s">
        <v>25</v>
      </c>
      <c r="Q641">
        <v>1608982</v>
      </c>
      <c r="R641" t="s">
        <v>49</v>
      </c>
      <c r="S641" t="s">
        <v>74</v>
      </c>
      <c r="T641" t="s">
        <v>41</v>
      </c>
    </row>
    <row r="642" spans="1:20" x14ac:dyDescent="0.3">
      <c r="A642" t="s">
        <v>951</v>
      </c>
      <c r="B642" s="1">
        <v>46021</v>
      </c>
      <c r="C642" s="1" t="s">
        <v>1332</v>
      </c>
      <c r="D642" t="s">
        <v>698</v>
      </c>
      <c r="E642" t="s">
        <v>37</v>
      </c>
      <c r="F642" t="s">
        <v>44</v>
      </c>
      <c r="G642" t="s">
        <v>23</v>
      </c>
      <c r="H642" t="s">
        <v>24</v>
      </c>
      <c r="I642">
        <v>0</v>
      </c>
      <c r="J642">
        <v>0</v>
      </c>
      <c r="K642">
        <v>0</v>
      </c>
      <c r="L642">
        <v>0</v>
      </c>
      <c r="M642">
        <v>2811.91</v>
      </c>
      <c r="N642">
        <v>670</v>
      </c>
      <c r="O642">
        <v>44</v>
      </c>
      <c r="P642" t="s">
        <v>25</v>
      </c>
      <c r="Q642">
        <v>1174338</v>
      </c>
      <c r="R642" t="s">
        <v>49</v>
      </c>
      <c r="S642" t="s">
        <v>27</v>
      </c>
      <c r="T642" t="s">
        <v>45</v>
      </c>
    </row>
    <row r="643" spans="1:20" x14ac:dyDescent="0.3">
      <c r="A643" t="s">
        <v>952</v>
      </c>
      <c r="B643" s="1">
        <v>45708</v>
      </c>
      <c r="C643" s="1" t="s">
        <v>1322</v>
      </c>
      <c r="D643" t="s">
        <v>152</v>
      </c>
      <c r="E643" t="s">
        <v>63</v>
      </c>
      <c r="F643" t="s">
        <v>38</v>
      </c>
      <c r="G643" t="s">
        <v>23</v>
      </c>
      <c r="H643" t="s">
        <v>52</v>
      </c>
      <c r="I643">
        <v>0</v>
      </c>
      <c r="J643">
        <v>0</v>
      </c>
      <c r="K643">
        <v>0</v>
      </c>
      <c r="L643">
        <v>38842</v>
      </c>
      <c r="M643">
        <v>0</v>
      </c>
      <c r="N643">
        <v>328</v>
      </c>
      <c r="O643">
        <v>43</v>
      </c>
      <c r="P643" t="s">
        <v>32</v>
      </c>
      <c r="Q643">
        <v>2685561</v>
      </c>
      <c r="R643" t="s">
        <v>49</v>
      </c>
      <c r="S643" t="s">
        <v>71</v>
      </c>
      <c r="T643" t="s">
        <v>41</v>
      </c>
    </row>
    <row r="644" spans="1:20" x14ac:dyDescent="0.3">
      <c r="A644" t="s">
        <v>953</v>
      </c>
      <c r="B644" s="1">
        <v>45978</v>
      </c>
      <c r="C644" s="1" t="s">
        <v>1331</v>
      </c>
      <c r="D644" t="s">
        <v>233</v>
      </c>
      <c r="E644" t="s">
        <v>37</v>
      </c>
      <c r="F644" t="s">
        <v>38</v>
      </c>
      <c r="G644" t="s">
        <v>59</v>
      </c>
      <c r="H644" t="s">
        <v>56</v>
      </c>
      <c r="I644">
        <v>110969</v>
      </c>
      <c r="J644">
        <v>0</v>
      </c>
      <c r="K644">
        <v>0</v>
      </c>
      <c r="L644">
        <v>0</v>
      </c>
      <c r="M644">
        <v>0</v>
      </c>
      <c r="N644">
        <v>605</v>
      </c>
      <c r="O644">
        <v>33</v>
      </c>
      <c r="P644" t="s">
        <v>25</v>
      </c>
      <c r="Q644">
        <v>2450615</v>
      </c>
      <c r="R644" t="s">
        <v>49</v>
      </c>
      <c r="S644" t="s">
        <v>27</v>
      </c>
      <c r="T644" t="s">
        <v>41</v>
      </c>
    </row>
    <row r="645" spans="1:20" x14ac:dyDescent="0.3">
      <c r="A645" t="s">
        <v>954</v>
      </c>
      <c r="B645" s="1">
        <v>45713</v>
      </c>
      <c r="C645" s="1" t="s">
        <v>1322</v>
      </c>
      <c r="D645" t="s">
        <v>346</v>
      </c>
      <c r="E645" t="s">
        <v>63</v>
      </c>
      <c r="F645" t="s">
        <v>64</v>
      </c>
      <c r="G645" t="s">
        <v>68</v>
      </c>
      <c r="H645" t="s">
        <v>24</v>
      </c>
      <c r="I645">
        <v>0</v>
      </c>
      <c r="J645">
        <v>0</v>
      </c>
      <c r="K645">
        <v>0</v>
      </c>
      <c r="L645">
        <v>0</v>
      </c>
      <c r="M645">
        <v>9971.61</v>
      </c>
      <c r="N645">
        <v>798</v>
      </c>
      <c r="O645">
        <v>56</v>
      </c>
      <c r="P645" t="s">
        <v>32</v>
      </c>
      <c r="Q645">
        <v>1911517</v>
      </c>
      <c r="R645" t="s">
        <v>49</v>
      </c>
      <c r="S645" t="s">
        <v>27</v>
      </c>
      <c r="T645" t="s">
        <v>45</v>
      </c>
    </row>
    <row r="646" spans="1:20" x14ac:dyDescent="0.3">
      <c r="A646" t="s">
        <v>955</v>
      </c>
      <c r="B646" s="1">
        <v>45935</v>
      </c>
      <c r="C646" s="1" t="s">
        <v>1330</v>
      </c>
      <c r="D646" t="s">
        <v>382</v>
      </c>
      <c r="E646" t="s">
        <v>55</v>
      </c>
      <c r="F646" t="s">
        <v>64</v>
      </c>
      <c r="G646" t="s">
        <v>59</v>
      </c>
      <c r="H646" t="s">
        <v>56</v>
      </c>
      <c r="I646">
        <v>81224</v>
      </c>
      <c r="J646">
        <v>0</v>
      </c>
      <c r="K646">
        <v>0</v>
      </c>
      <c r="L646">
        <v>0</v>
      </c>
      <c r="M646">
        <v>0</v>
      </c>
      <c r="N646">
        <v>773</v>
      </c>
      <c r="O646">
        <v>27</v>
      </c>
      <c r="P646" t="s">
        <v>32</v>
      </c>
      <c r="Q646">
        <v>1903799</v>
      </c>
      <c r="R646" t="s">
        <v>49</v>
      </c>
      <c r="S646" t="s">
        <v>27</v>
      </c>
      <c r="T646" t="s">
        <v>28</v>
      </c>
    </row>
    <row r="647" spans="1:20" x14ac:dyDescent="0.3">
      <c r="A647" t="s">
        <v>956</v>
      </c>
      <c r="B647" s="1">
        <v>45869</v>
      </c>
      <c r="C647" s="1" t="s">
        <v>1327</v>
      </c>
      <c r="D647" t="s">
        <v>350</v>
      </c>
      <c r="E647" t="s">
        <v>63</v>
      </c>
      <c r="F647" t="s">
        <v>44</v>
      </c>
      <c r="G647" t="s">
        <v>23</v>
      </c>
      <c r="H647" t="s">
        <v>56</v>
      </c>
      <c r="I647">
        <v>149565</v>
      </c>
      <c r="J647">
        <v>0</v>
      </c>
      <c r="K647">
        <v>0</v>
      </c>
      <c r="L647">
        <v>0</v>
      </c>
      <c r="M647">
        <v>0</v>
      </c>
      <c r="N647">
        <v>668</v>
      </c>
      <c r="O647">
        <v>33</v>
      </c>
      <c r="P647" t="s">
        <v>32</v>
      </c>
      <c r="Q647">
        <v>2698866</v>
      </c>
      <c r="R647" t="s">
        <v>26</v>
      </c>
      <c r="S647" t="s">
        <v>27</v>
      </c>
      <c r="T647" t="s">
        <v>41</v>
      </c>
    </row>
    <row r="648" spans="1:20" x14ac:dyDescent="0.3">
      <c r="A648" t="s">
        <v>957</v>
      </c>
      <c r="B648" s="1">
        <v>45726</v>
      </c>
      <c r="C648" s="1" t="s">
        <v>1323</v>
      </c>
      <c r="D648" t="s">
        <v>718</v>
      </c>
      <c r="E648" t="s">
        <v>48</v>
      </c>
      <c r="F648" t="s">
        <v>21</v>
      </c>
      <c r="G648" t="s">
        <v>59</v>
      </c>
      <c r="H648" t="s">
        <v>56</v>
      </c>
      <c r="I648">
        <v>139851</v>
      </c>
      <c r="J648">
        <v>0</v>
      </c>
      <c r="K648">
        <v>0</v>
      </c>
      <c r="L648">
        <v>0</v>
      </c>
      <c r="M648">
        <v>0</v>
      </c>
      <c r="N648">
        <v>412</v>
      </c>
      <c r="O648">
        <v>56</v>
      </c>
      <c r="P648" t="s">
        <v>32</v>
      </c>
      <c r="Q648">
        <v>2912250</v>
      </c>
      <c r="R648" t="s">
        <v>26</v>
      </c>
      <c r="S648" t="s">
        <v>27</v>
      </c>
      <c r="T648" t="s">
        <v>34</v>
      </c>
    </row>
    <row r="649" spans="1:20" x14ac:dyDescent="0.3">
      <c r="A649" t="s">
        <v>958</v>
      </c>
      <c r="B649" s="1">
        <v>45743</v>
      </c>
      <c r="C649" s="1" t="s">
        <v>1323</v>
      </c>
      <c r="D649" t="s">
        <v>62</v>
      </c>
      <c r="E649" t="s">
        <v>77</v>
      </c>
      <c r="F649" t="s">
        <v>64</v>
      </c>
      <c r="G649" t="s">
        <v>23</v>
      </c>
      <c r="H649" t="s">
        <v>40</v>
      </c>
      <c r="I649">
        <v>0</v>
      </c>
      <c r="J649">
        <v>79657</v>
      </c>
      <c r="K649">
        <v>0</v>
      </c>
      <c r="L649">
        <v>0</v>
      </c>
      <c r="M649">
        <v>0</v>
      </c>
      <c r="N649">
        <v>487</v>
      </c>
      <c r="O649">
        <v>34</v>
      </c>
      <c r="P649" t="s">
        <v>32</v>
      </c>
      <c r="Q649">
        <v>1456855</v>
      </c>
      <c r="R649" t="s">
        <v>49</v>
      </c>
      <c r="S649" t="s">
        <v>27</v>
      </c>
      <c r="T649" t="s">
        <v>60</v>
      </c>
    </row>
    <row r="650" spans="1:20" x14ac:dyDescent="0.3">
      <c r="A650" t="s">
        <v>959</v>
      </c>
      <c r="B650" s="1">
        <v>45716</v>
      </c>
      <c r="C650" s="1" t="s">
        <v>1322</v>
      </c>
      <c r="D650" t="s">
        <v>207</v>
      </c>
      <c r="E650" t="s">
        <v>77</v>
      </c>
      <c r="F650" t="s">
        <v>64</v>
      </c>
      <c r="G650" t="s">
        <v>39</v>
      </c>
      <c r="H650" t="s">
        <v>52</v>
      </c>
      <c r="I650">
        <v>0</v>
      </c>
      <c r="J650">
        <v>0</v>
      </c>
      <c r="K650">
        <v>0</v>
      </c>
      <c r="L650">
        <v>18504</v>
      </c>
      <c r="M650">
        <v>0</v>
      </c>
      <c r="N650">
        <v>393</v>
      </c>
      <c r="O650">
        <v>18</v>
      </c>
      <c r="P650" t="s">
        <v>25</v>
      </c>
      <c r="Q650">
        <v>679311</v>
      </c>
      <c r="R650" t="s">
        <v>26</v>
      </c>
      <c r="S650" t="s">
        <v>71</v>
      </c>
      <c r="T650" t="s">
        <v>60</v>
      </c>
    </row>
    <row r="651" spans="1:20" x14ac:dyDescent="0.3">
      <c r="A651" t="s">
        <v>960</v>
      </c>
      <c r="B651" s="1">
        <v>45989</v>
      </c>
      <c r="C651" s="1" t="s">
        <v>1331</v>
      </c>
      <c r="D651" t="s">
        <v>499</v>
      </c>
      <c r="E651" t="s">
        <v>63</v>
      </c>
      <c r="F651" t="s">
        <v>44</v>
      </c>
      <c r="G651" t="s">
        <v>23</v>
      </c>
      <c r="H651" t="s">
        <v>40</v>
      </c>
      <c r="I651">
        <v>0</v>
      </c>
      <c r="J651">
        <v>46136</v>
      </c>
      <c r="K651">
        <v>0</v>
      </c>
      <c r="L651">
        <v>0</v>
      </c>
      <c r="M651">
        <v>0</v>
      </c>
      <c r="N651">
        <v>495</v>
      </c>
      <c r="O651">
        <v>32</v>
      </c>
      <c r="P651" t="s">
        <v>25</v>
      </c>
      <c r="Q651">
        <v>968315</v>
      </c>
      <c r="R651" t="s">
        <v>49</v>
      </c>
      <c r="S651" t="s">
        <v>27</v>
      </c>
      <c r="T651" t="s">
        <v>60</v>
      </c>
    </row>
    <row r="652" spans="1:20" x14ac:dyDescent="0.3">
      <c r="A652" t="s">
        <v>961</v>
      </c>
      <c r="B652" s="1">
        <v>45841</v>
      </c>
      <c r="C652" s="1" t="s">
        <v>1327</v>
      </c>
      <c r="D652" t="s">
        <v>169</v>
      </c>
      <c r="E652" t="s">
        <v>48</v>
      </c>
      <c r="F652" t="s">
        <v>21</v>
      </c>
      <c r="G652" t="s">
        <v>59</v>
      </c>
      <c r="H652" t="s">
        <v>31</v>
      </c>
      <c r="I652">
        <v>0</v>
      </c>
      <c r="J652">
        <v>0</v>
      </c>
      <c r="K652">
        <v>1483492</v>
      </c>
      <c r="L652">
        <v>0</v>
      </c>
      <c r="M652">
        <v>0</v>
      </c>
      <c r="N652">
        <v>452</v>
      </c>
      <c r="O652">
        <v>32</v>
      </c>
      <c r="P652" t="s">
        <v>32</v>
      </c>
      <c r="Q652">
        <v>2731487</v>
      </c>
      <c r="R652" t="s">
        <v>49</v>
      </c>
      <c r="S652" t="s">
        <v>33</v>
      </c>
      <c r="T652" t="s">
        <v>41</v>
      </c>
    </row>
    <row r="653" spans="1:20" x14ac:dyDescent="0.3">
      <c r="A653" t="s">
        <v>962</v>
      </c>
      <c r="B653" s="1">
        <v>45750</v>
      </c>
      <c r="C653" s="1" t="s">
        <v>1324</v>
      </c>
      <c r="D653" t="s">
        <v>89</v>
      </c>
      <c r="E653" t="s">
        <v>37</v>
      </c>
      <c r="F653" t="s">
        <v>21</v>
      </c>
      <c r="G653" t="s">
        <v>59</v>
      </c>
      <c r="H653" t="s">
        <v>24</v>
      </c>
      <c r="I653">
        <v>0</v>
      </c>
      <c r="J653">
        <v>0</v>
      </c>
      <c r="K653">
        <v>0</v>
      </c>
      <c r="L653">
        <v>0</v>
      </c>
      <c r="M653">
        <v>7259.65</v>
      </c>
      <c r="N653">
        <v>554</v>
      </c>
      <c r="O653">
        <v>58</v>
      </c>
      <c r="P653" t="s">
        <v>32</v>
      </c>
      <c r="Q653">
        <v>1063480</v>
      </c>
      <c r="R653" t="s">
        <v>49</v>
      </c>
      <c r="S653" t="s">
        <v>27</v>
      </c>
      <c r="T653" t="s">
        <v>34</v>
      </c>
    </row>
    <row r="654" spans="1:20" x14ac:dyDescent="0.3">
      <c r="A654" t="s">
        <v>963</v>
      </c>
      <c r="B654" s="1">
        <v>45903</v>
      </c>
      <c r="C654" s="1" t="s">
        <v>1329</v>
      </c>
      <c r="D654" t="s">
        <v>303</v>
      </c>
      <c r="E654" t="s">
        <v>48</v>
      </c>
      <c r="F654" t="s">
        <v>21</v>
      </c>
      <c r="G654" t="s">
        <v>23</v>
      </c>
      <c r="H654" t="s">
        <v>40</v>
      </c>
      <c r="I654">
        <v>0</v>
      </c>
      <c r="J654">
        <v>76428</v>
      </c>
      <c r="K654">
        <v>0</v>
      </c>
      <c r="L654">
        <v>0</v>
      </c>
      <c r="M654">
        <v>0</v>
      </c>
      <c r="N654">
        <v>456</v>
      </c>
      <c r="O654">
        <v>48</v>
      </c>
      <c r="P654" t="s">
        <v>25</v>
      </c>
      <c r="Q654">
        <v>2355026</v>
      </c>
      <c r="R654" t="s">
        <v>26</v>
      </c>
      <c r="S654" t="s">
        <v>27</v>
      </c>
      <c r="T654" t="s">
        <v>41</v>
      </c>
    </row>
    <row r="655" spans="1:20" x14ac:dyDescent="0.3">
      <c r="A655" t="s">
        <v>964</v>
      </c>
      <c r="B655" s="1">
        <v>45713</v>
      </c>
      <c r="C655" s="1" t="s">
        <v>1322</v>
      </c>
      <c r="D655" t="s">
        <v>818</v>
      </c>
      <c r="E655" t="s">
        <v>21</v>
      </c>
      <c r="F655" t="s">
        <v>44</v>
      </c>
      <c r="G655" t="s">
        <v>68</v>
      </c>
      <c r="H655" t="s">
        <v>40</v>
      </c>
      <c r="I655">
        <v>0</v>
      </c>
      <c r="J655">
        <v>52691</v>
      </c>
      <c r="K655">
        <v>0</v>
      </c>
      <c r="L655">
        <v>0</v>
      </c>
      <c r="M655">
        <v>0</v>
      </c>
      <c r="N655">
        <v>590</v>
      </c>
      <c r="O655">
        <v>19</v>
      </c>
      <c r="P655" t="s">
        <v>25</v>
      </c>
      <c r="Q655">
        <v>465418</v>
      </c>
      <c r="R655" t="s">
        <v>49</v>
      </c>
      <c r="S655" t="s">
        <v>27</v>
      </c>
      <c r="T655" t="s">
        <v>28</v>
      </c>
    </row>
    <row r="656" spans="1:20" x14ac:dyDescent="0.3">
      <c r="A656" t="s">
        <v>966</v>
      </c>
      <c r="B656" s="1">
        <v>45781</v>
      </c>
      <c r="C656" s="1" t="s">
        <v>1325</v>
      </c>
      <c r="D656" t="s">
        <v>262</v>
      </c>
      <c r="E656" t="s">
        <v>37</v>
      </c>
      <c r="F656" t="s">
        <v>21</v>
      </c>
      <c r="G656" t="s">
        <v>39</v>
      </c>
      <c r="H656" t="s">
        <v>40</v>
      </c>
      <c r="I656">
        <v>0</v>
      </c>
      <c r="J656">
        <v>81840</v>
      </c>
      <c r="K656">
        <v>0</v>
      </c>
      <c r="L656">
        <v>0</v>
      </c>
      <c r="M656">
        <v>0</v>
      </c>
      <c r="N656">
        <v>653</v>
      </c>
      <c r="O656">
        <v>43</v>
      </c>
      <c r="P656" t="s">
        <v>32</v>
      </c>
      <c r="Q656">
        <v>636737</v>
      </c>
      <c r="R656" t="s">
        <v>49</v>
      </c>
      <c r="S656" t="s">
        <v>27</v>
      </c>
      <c r="T656" t="s">
        <v>45</v>
      </c>
    </row>
    <row r="657" spans="1:20" x14ac:dyDescent="0.3">
      <c r="A657" t="s">
        <v>967</v>
      </c>
      <c r="B657" s="1">
        <v>45775</v>
      </c>
      <c r="C657" s="1" t="s">
        <v>1324</v>
      </c>
      <c r="D657" t="s">
        <v>157</v>
      </c>
      <c r="E657" t="s">
        <v>21</v>
      </c>
      <c r="F657" t="s">
        <v>44</v>
      </c>
      <c r="G657" t="s">
        <v>39</v>
      </c>
      <c r="H657" t="s">
        <v>31</v>
      </c>
      <c r="I657">
        <v>0</v>
      </c>
      <c r="J657">
        <v>0</v>
      </c>
      <c r="K657">
        <v>1988300</v>
      </c>
      <c r="L657">
        <v>0</v>
      </c>
      <c r="M657">
        <v>0</v>
      </c>
      <c r="N657">
        <v>768</v>
      </c>
      <c r="O657">
        <v>37</v>
      </c>
      <c r="P657" t="s">
        <v>32</v>
      </c>
      <c r="Q657">
        <v>1436427</v>
      </c>
      <c r="R657" t="s">
        <v>49</v>
      </c>
      <c r="S657" t="s">
        <v>65</v>
      </c>
      <c r="T657" t="s">
        <v>45</v>
      </c>
    </row>
    <row r="658" spans="1:20" x14ac:dyDescent="0.3">
      <c r="A658" t="s">
        <v>968</v>
      </c>
      <c r="B658" s="1">
        <v>45993</v>
      </c>
      <c r="C658" s="1" t="s">
        <v>1332</v>
      </c>
      <c r="D658" t="s">
        <v>268</v>
      </c>
      <c r="E658" t="s">
        <v>55</v>
      </c>
      <c r="F658" t="s">
        <v>21</v>
      </c>
      <c r="G658" t="s">
        <v>23</v>
      </c>
      <c r="H658" t="s">
        <v>24</v>
      </c>
      <c r="I658">
        <v>0</v>
      </c>
      <c r="J658">
        <v>0</v>
      </c>
      <c r="K658">
        <v>0</v>
      </c>
      <c r="L658">
        <v>0</v>
      </c>
      <c r="M658">
        <v>8184.6</v>
      </c>
      <c r="N658">
        <v>874</v>
      </c>
      <c r="O658">
        <v>50</v>
      </c>
      <c r="P658" t="s">
        <v>25</v>
      </c>
      <c r="Q658">
        <v>536236</v>
      </c>
      <c r="R658" t="s">
        <v>49</v>
      </c>
      <c r="S658" t="s">
        <v>27</v>
      </c>
      <c r="T658" t="s">
        <v>41</v>
      </c>
    </row>
    <row r="659" spans="1:20" x14ac:dyDescent="0.3">
      <c r="A659" t="s">
        <v>969</v>
      </c>
      <c r="B659" s="1">
        <v>45926</v>
      </c>
      <c r="C659" s="1" t="s">
        <v>1329</v>
      </c>
      <c r="D659" t="s">
        <v>795</v>
      </c>
      <c r="E659" t="s">
        <v>48</v>
      </c>
      <c r="F659" t="s">
        <v>38</v>
      </c>
      <c r="G659" t="s">
        <v>68</v>
      </c>
      <c r="H659" t="s">
        <v>31</v>
      </c>
      <c r="I659">
        <v>0</v>
      </c>
      <c r="J659">
        <v>0</v>
      </c>
      <c r="K659">
        <v>1782967</v>
      </c>
      <c r="L659">
        <v>0</v>
      </c>
      <c r="M659">
        <v>0</v>
      </c>
      <c r="N659">
        <v>870</v>
      </c>
      <c r="O659">
        <v>57</v>
      </c>
      <c r="P659" t="s">
        <v>32</v>
      </c>
      <c r="Q659">
        <v>241671</v>
      </c>
      <c r="R659" t="s">
        <v>49</v>
      </c>
      <c r="S659" t="s">
        <v>65</v>
      </c>
      <c r="T659" t="s">
        <v>41</v>
      </c>
    </row>
    <row r="660" spans="1:20" x14ac:dyDescent="0.3">
      <c r="A660" t="s">
        <v>970</v>
      </c>
      <c r="B660" s="1">
        <v>45968</v>
      </c>
      <c r="C660" s="1" t="s">
        <v>1331</v>
      </c>
      <c r="D660" t="s">
        <v>93</v>
      </c>
      <c r="E660" t="s">
        <v>55</v>
      </c>
      <c r="F660" t="s">
        <v>21</v>
      </c>
      <c r="G660" t="s">
        <v>23</v>
      </c>
      <c r="H660" t="s">
        <v>52</v>
      </c>
      <c r="I660">
        <v>0</v>
      </c>
      <c r="J660">
        <v>0</v>
      </c>
      <c r="K660">
        <v>0</v>
      </c>
      <c r="L660">
        <v>34226</v>
      </c>
      <c r="M660">
        <v>0</v>
      </c>
      <c r="N660">
        <v>578</v>
      </c>
      <c r="O660">
        <v>45</v>
      </c>
      <c r="P660" t="s">
        <v>32</v>
      </c>
      <c r="Q660">
        <v>341102</v>
      </c>
      <c r="R660" t="s">
        <v>26</v>
      </c>
      <c r="S660" t="s">
        <v>74</v>
      </c>
      <c r="T660" t="s">
        <v>60</v>
      </c>
    </row>
    <row r="661" spans="1:20" x14ac:dyDescent="0.3">
      <c r="A661" t="s">
        <v>971</v>
      </c>
      <c r="B661" s="1">
        <v>45956</v>
      </c>
      <c r="C661" s="1" t="s">
        <v>1330</v>
      </c>
      <c r="D661" t="s">
        <v>414</v>
      </c>
      <c r="E661" t="s">
        <v>21</v>
      </c>
      <c r="F661" t="s">
        <v>64</v>
      </c>
      <c r="G661" t="s">
        <v>68</v>
      </c>
      <c r="H661" t="s">
        <v>24</v>
      </c>
      <c r="I661">
        <v>0</v>
      </c>
      <c r="J661">
        <v>0</v>
      </c>
      <c r="K661">
        <v>0</v>
      </c>
      <c r="L661">
        <v>0</v>
      </c>
      <c r="M661">
        <v>9715.92</v>
      </c>
      <c r="N661">
        <v>659</v>
      </c>
      <c r="O661">
        <v>26</v>
      </c>
      <c r="P661" t="s">
        <v>32</v>
      </c>
      <c r="Q661">
        <v>2025785</v>
      </c>
      <c r="R661" t="s">
        <v>49</v>
      </c>
      <c r="S661" t="s">
        <v>27</v>
      </c>
      <c r="T661" t="s">
        <v>34</v>
      </c>
    </row>
    <row r="662" spans="1:20" x14ac:dyDescent="0.3">
      <c r="A662" t="s">
        <v>972</v>
      </c>
      <c r="B662" s="1">
        <v>45771</v>
      </c>
      <c r="C662" s="1" t="s">
        <v>1324</v>
      </c>
      <c r="D662" t="s">
        <v>760</v>
      </c>
      <c r="E662" t="s">
        <v>37</v>
      </c>
      <c r="F662" t="s">
        <v>22</v>
      </c>
      <c r="G662" t="s">
        <v>68</v>
      </c>
      <c r="H662" t="s">
        <v>40</v>
      </c>
      <c r="I662">
        <v>0</v>
      </c>
      <c r="J662">
        <v>41731</v>
      </c>
      <c r="K662">
        <v>0</v>
      </c>
      <c r="L662">
        <v>0</v>
      </c>
      <c r="M662">
        <v>0</v>
      </c>
      <c r="N662">
        <v>393</v>
      </c>
      <c r="O662">
        <v>40</v>
      </c>
      <c r="P662" t="s">
        <v>25</v>
      </c>
      <c r="Q662">
        <v>2109282</v>
      </c>
      <c r="R662" t="s">
        <v>26</v>
      </c>
      <c r="S662" t="s">
        <v>27</v>
      </c>
      <c r="T662" t="s">
        <v>41</v>
      </c>
    </row>
    <row r="663" spans="1:20" x14ac:dyDescent="0.3">
      <c r="A663" t="s">
        <v>973</v>
      </c>
      <c r="B663" s="1">
        <v>45784</v>
      </c>
      <c r="C663" s="1" t="s">
        <v>1325</v>
      </c>
      <c r="D663" t="s">
        <v>76</v>
      </c>
      <c r="E663" t="s">
        <v>55</v>
      </c>
      <c r="F663" t="s">
        <v>22</v>
      </c>
      <c r="G663" t="s">
        <v>39</v>
      </c>
      <c r="H663" t="s">
        <v>40</v>
      </c>
      <c r="I663">
        <v>0</v>
      </c>
      <c r="J663">
        <v>25833</v>
      </c>
      <c r="K663">
        <v>0</v>
      </c>
      <c r="L663">
        <v>0</v>
      </c>
      <c r="M663">
        <v>0</v>
      </c>
      <c r="N663">
        <v>638</v>
      </c>
      <c r="O663">
        <v>45</v>
      </c>
      <c r="P663" t="s">
        <v>32</v>
      </c>
      <c r="Q663">
        <v>1104661</v>
      </c>
      <c r="R663" t="s">
        <v>49</v>
      </c>
      <c r="S663" t="s">
        <v>27</v>
      </c>
      <c r="T663" t="s">
        <v>34</v>
      </c>
    </row>
    <row r="664" spans="1:20" x14ac:dyDescent="0.3">
      <c r="A664" t="s">
        <v>974</v>
      </c>
      <c r="B664" s="1">
        <v>45737</v>
      </c>
      <c r="C664" s="1" t="s">
        <v>1323</v>
      </c>
      <c r="D664" t="s">
        <v>100</v>
      </c>
      <c r="E664" t="s">
        <v>21</v>
      </c>
      <c r="F664" t="s">
        <v>38</v>
      </c>
      <c r="G664" t="s">
        <v>23</v>
      </c>
      <c r="H664" t="s">
        <v>56</v>
      </c>
      <c r="I664">
        <v>104802</v>
      </c>
      <c r="J664">
        <v>0</v>
      </c>
      <c r="K664">
        <v>0</v>
      </c>
      <c r="L664">
        <v>0</v>
      </c>
      <c r="M664">
        <v>0</v>
      </c>
      <c r="N664">
        <v>886</v>
      </c>
      <c r="O664">
        <v>48</v>
      </c>
      <c r="P664" t="s">
        <v>32</v>
      </c>
      <c r="Q664">
        <v>299788</v>
      </c>
      <c r="R664" t="s">
        <v>26</v>
      </c>
      <c r="S664" t="s">
        <v>27</v>
      </c>
      <c r="T664" t="s">
        <v>28</v>
      </c>
    </row>
    <row r="665" spans="1:20" x14ac:dyDescent="0.3">
      <c r="A665" t="s">
        <v>975</v>
      </c>
      <c r="B665" s="1">
        <v>45764</v>
      </c>
      <c r="C665" s="1" t="s">
        <v>1324</v>
      </c>
      <c r="D665" t="s">
        <v>863</v>
      </c>
      <c r="E665" t="s">
        <v>63</v>
      </c>
      <c r="F665" t="s">
        <v>38</v>
      </c>
      <c r="G665" t="s">
        <v>39</v>
      </c>
      <c r="H665" t="s">
        <v>40</v>
      </c>
      <c r="I665">
        <v>0</v>
      </c>
      <c r="J665">
        <v>8682</v>
      </c>
      <c r="K665">
        <v>0</v>
      </c>
      <c r="L665">
        <v>0</v>
      </c>
      <c r="M665">
        <v>0</v>
      </c>
      <c r="N665">
        <v>630</v>
      </c>
      <c r="O665">
        <v>18</v>
      </c>
      <c r="P665" t="s">
        <v>25</v>
      </c>
      <c r="Q665">
        <v>2587601</v>
      </c>
      <c r="R665" t="s">
        <v>49</v>
      </c>
      <c r="S665" t="s">
        <v>27</v>
      </c>
      <c r="T665" t="s">
        <v>41</v>
      </c>
    </row>
    <row r="666" spans="1:20" x14ac:dyDescent="0.3">
      <c r="A666" t="s">
        <v>976</v>
      </c>
      <c r="B666" s="1">
        <v>45932</v>
      </c>
      <c r="C666" s="1" t="s">
        <v>1330</v>
      </c>
      <c r="D666" t="s">
        <v>931</v>
      </c>
      <c r="E666" t="s">
        <v>77</v>
      </c>
      <c r="F666" t="s">
        <v>38</v>
      </c>
      <c r="G666" t="s">
        <v>39</v>
      </c>
      <c r="H666" t="s">
        <v>31</v>
      </c>
      <c r="I666">
        <v>0</v>
      </c>
      <c r="J666">
        <v>0</v>
      </c>
      <c r="K666">
        <v>330342</v>
      </c>
      <c r="L666">
        <v>0</v>
      </c>
      <c r="M666">
        <v>0</v>
      </c>
      <c r="N666">
        <v>869</v>
      </c>
      <c r="O666">
        <v>70</v>
      </c>
      <c r="P666" t="s">
        <v>32</v>
      </c>
      <c r="Q666">
        <v>760332</v>
      </c>
      <c r="R666" t="s">
        <v>26</v>
      </c>
      <c r="S666" t="s">
        <v>33</v>
      </c>
      <c r="T666" t="s">
        <v>41</v>
      </c>
    </row>
    <row r="667" spans="1:20" x14ac:dyDescent="0.3">
      <c r="A667" t="s">
        <v>977</v>
      </c>
      <c r="B667" s="1">
        <v>45819</v>
      </c>
      <c r="C667" s="1" t="s">
        <v>1326</v>
      </c>
      <c r="D667" t="s">
        <v>978</v>
      </c>
      <c r="E667" t="s">
        <v>37</v>
      </c>
      <c r="F667" t="s">
        <v>64</v>
      </c>
      <c r="G667" t="s">
        <v>68</v>
      </c>
      <c r="H667" t="s">
        <v>56</v>
      </c>
      <c r="I667">
        <v>177149</v>
      </c>
      <c r="J667">
        <v>0</v>
      </c>
      <c r="K667">
        <v>0</v>
      </c>
      <c r="L667">
        <v>0</v>
      </c>
      <c r="M667">
        <v>0</v>
      </c>
      <c r="N667">
        <v>412</v>
      </c>
      <c r="O667">
        <v>25</v>
      </c>
      <c r="P667" t="s">
        <v>32</v>
      </c>
      <c r="Q667">
        <v>777387</v>
      </c>
      <c r="R667" t="s">
        <v>49</v>
      </c>
      <c r="S667" t="s">
        <v>27</v>
      </c>
      <c r="T667" t="s">
        <v>34</v>
      </c>
    </row>
    <row r="668" spans="1:20" x14ac:dyDescent="0.3">
      <c r="A668" t="s">
        <v>979</v>
      </c>
      <c r="B668" s="1">
        <v>45901</v>
      </c>
      <c r="C668" s="1" t="s">
        <v>1329</v>
      </c>
      <c r="D668" t="s">
        <v>148</v>
      </c>
      <c r="E668" t="s">
        <v>55</v>
      </c>
      <c r="F668" t="s">
        <v>22</v>
      </c>
      <c r="G668" t="s">
        <v>59</v>
      </c>
      <c r="H668" t="s">
        <v>56</v>
      </c>
      <c r="I668">
        <v>97266</v>
      </c>
      <c r="J668">
        <v>0</v>
      </c>
      <c r="K668">
        <v>0</v>
      </c>
      <c r="L668">
        <v>0</v>
      </c>
      <c r="M668">
        <v>0</v>
      </c>
      <c r="N668">
        <v>659</v>
      </c>
      <c r="O668">
        <v>34</v>
      </c>
      <c r="P668" t="s">
        <v>25</v>
      </c>
      <c r="Q668">
        <v>797954</v>
      </c>
      <c r="R668" t="s">
        <v>26</v>
      </c>
      <c r="S668" t="s">
        <v>27</v>
      </c>
      <c r="T668" t="s">
        <v>28</v>
      </c>
    </row>
    <row r="669" spans="1:20" x14ac:dyDescent="0.3">
      <c r="A669" t="s">
        <v>980</v>
      </c>
      <c r="B669" s="1">
        <v>45768</v>
      </c>
      <c r="C669" s="1" t="s">
        <v>1324</v>
      </c>
      <c r="D669" t="s">
        <v>85</v>
      </c>
      <c r="E669" t="s">
        <v>37</v>
      </c>
      <c r="F669" t="s">
        <v>38</v>
      </c>
      <c r="G669" t="s">
        <v>23</v>
      </c>
      <c r="H669" t="s">
        <v>31</v>
      </c>
      <c r="I669">
        <v>0</v>
      </c>
      <c r="J669">
        <v>0</v>
      </c>
      <c r="K669">
        <v>1126470</v>
      </c>
      <c r="L669">
        <v>0</v>
      </c>
      <c r="M669">
        <v>0</v>
      </c>
      <c r="N669">
        <v>857</v>
      </c>
      <c r="O669">
        <v>66</v>
      </c>
      <c r="P669" t="s">
        <v>32</v>
      </c>
      <c r="Q669">
        <v>1386875</v>
      </c>
      <c r="R669" t="s">
        <v>26</v>
      </c>
      <c r="S669" t="s">
        <v>65</v>
      </c>
      <c r="T669" t="s">
        <v>41</v>
      </c>
    </row>
    <row r="670" spans="1:20" x14ac:dyDescent="0.3">
      <c r="A670" t="s">
        <v>981</v>
      </c>
      <c r="B670" s="1">
        <v>45897</v>
      </c>
      <c r="C670" s="1" t="s">
        <v>1328</v>
      </c>
      <c r="D670" t="s">
        <v>475</v>
      </c>
      <c r="E670" t="s">
        <v>77</v>
      </c>
      <c r="F670" t="s">
        <v>64</v>
      </c>
      <c r="G670" t="s">
        <v>39</v>
      </c>
      <c r="H670" t="s">
        <v>40</v>
      </c>
      <c r="I670">
        <v>0</v>
      </c>
      <c r="J670">
        <v>78767</v>
      </c>
      <c r="K670">
        <v>0</v>
      </c>
      <c r="L670">
        <v>0</v>
      </c>
      <c r="M670">
        <v>0</v>
      </c>
      <c r="N670">
        <v>802</v>
      </c>
      <c r="O670">
        <v>34</v>
      </c>
      <c r="P670" t="s">
        <v>25</v>
      </c>
      <c r="Q670">
        <v>2068173</v>
      </c>
      <c r="R670" t="s">
        <v>49</v>
      </c>
      <c r="S670" t="s">
        <v>27</v>
      </c>
      <c r="T670" t="s">
        <v>60</v>
      </c>
    </row>
    <row r="671" spans="1:20" x14ac:dyDescent="0.3">
      <c r="A671" t="s">
        <v>982</v>
      </c>
      <c r="B671" s="1">
        <v>45792</v>
      </c>
      <c r="C671" s="1" t="s">
        <v>1325</v>
      </c>
      <c r="D671" t="s">
        <v>204</v>
      </c>
      <c r="E671" t="s">
        <v>77</v>
      </c>
      <c r="F671" t="s">
        <v>21</v>
      </c>
      <c r="G671" t="s">
        <v>39</v>
      </c>
      <c r="H671" t="s">
        <v>56</v>
      </c>
      <c r="I671">
        <v>114617</v>
      </c>
      <c r="J671">
        <v>0</v>
      </c>
      <c r="K671">
        <v>0</v>
      </c>
      <c r="L671">
        <v>0</v>
      </c>
      <c r="M671">
        <v>0</v>
      </c>
      <c r="N671">
        <v>781</v>
      </c>
      <c r="O671">
        <v>19</v>
      </c>
      <c r="P671" t="s">
        <v>25</v>
      </c>
      <c r="Q671">
        <v>1314947</v>
      </c>
      <c r="R671" t="s">
        <v>26</v>
      </c>
      <c r="S671" t="s">
        <v>27</v>
      </c>
      <c r="T671" t="s">
        <v>34</v>
      </c>
    </row>
    <row r="672" spans="1:20" x14ac:dyDescent="0.3">
      <c r="A672" t="s">
        <v>983</v>
      </c>
      <c r="B672" s="1">
        <v>45797</v>
      </c>
      <c r="C672" s="1" t="s">
        <v>1325</v>
      </c>
      <c r="D672" t="s">
        <v>984</v>
      </c>
      <c r="E672" t="s">
        <v>21</v>
      </c>
      <c r="F672" t="s">
        <v>22</v>
      </c>
      <c r="G672" t="s">
        <v>39</v>
      </c>
      <c r="H672" t="s">
        <v>52</v>
      </c>
      <c r="I672">
        <v>0</v>
      </c>
      <c r="J672">
        <v>0</v>
      </c>
      <c r="K672">
        <v>0</v>
      </c>
      <c r="L672">
        <v>18733</v>
      </c>
      <c r="M672">
        <v>0</v>
      </c>
      <c r="N672">
        <v>786</v>
      </c>
      <c r="O672">
        <v>39</v>
      </c>
      <c r="P672" t="s">
        <v>32</v>
      </c>
      <c r="Q672">
        <v>237236</v>
      </c>
      <c r="R672" t="s">
        <v>49</v>
      </c>
      <c r="S672" t="s">
        <v>33</v>
      </c>
      <c r="T672" t="s">
        <v>41</v>
      </c>
    </row>
    <row r="673" spans="1:20" x14ac:dyDescent="0.3">
      <c r="A673" t="s">
        <v>985</v>
      </c>
      <c r="B673" s="1">
        <v>45866</v>
      </c>
      <c r="C673" s="1" t="s">
        <v>1327</v>
      </c>
      <c r="D673" t="s">
        <v>986</v>
      </c>
      <c r="E673" t="s">
        <v>21</v>
      </c>
      <c r="F673" t="s">
        <v>21</v>
      </c>
      <c r="G673" t="s">
        <v>59</v>
      </c>
      <c r="H673" t="s">
        <v>31</v>
      </c>
      <c r="I673">
        <v>0</v>
      </c>
      <c r="J673">
        <v>0</v>
      </c>
      <c r="K673">
        <v>103389</v>
      </c>
      <c r="L673">
        <v>0</v>
      </c>
      <c r="M673">
        <v>0</v>
      </c>
      <c r="N673">
        <v>873</v>
      </c>
      <c r="O673">
        <v>19</v>
      </c>
      <c r="P673" t="s">
        <v>25</v>
      </c>
      <c r="Q673">
        <v>1183314</v>
      </c>
      <c r="R673" t="s">
        <v>49</v>
      </c>
      <c r="S673" t="s">
        <v>33</v>
      </c>
      <c r="T673" t="s">
        <v>41</v>
      </c>
    </row>
    <row r="674" spans="1:20" x14ac:dyDescent="0.3">
      <c r="A674" t="s">
        <v>987</v>
      </c>
      <c r="B674" s="1">
        <v>45727</v>
      </c>
      <c r="C674" s="1" t="s">
        <v>1323</v>
      </c>
      <c r="D674" t="s">
        <v>561</v>
      </c>
      <c r="E674" t="s">
        <v>48</v>
      </c>
      <c r="F674" t="s">
        <v>44</v>
      </c>
      <c r="G674" t="s">
        <v>59</v>
      </c>
      <c r="H674" t="s">
        <v>31</v>
      </c>
      <c r="I674">
        <v>0</v>
      </c>
      <c r="J674">
        <v>0</v>
      </c>
      <c r="K674">
        <v>636578</v>
      </c>
      <c r="L674">
        <v>0</v>
      </c>
      <c r="M674">
        <v>0</v>
      </c>
      <c r="N674">
        <v>351</v>
      </c>
      <c r="O674">
        <v>30</v>
      </c>
      <c r="P674" t="s">
        <v>32</v>
      </c>
      <c r="Q674">
        <v>521844</v>
      </c>
      <c r="R674" t="s">
        <v>26</v>
      </c>
      <c r="S674" t="s">
        <v>65</v>
      </c>
      <c r="T674" t="s">
        <v>34</v>
      </c>
    </row>
    <row r="675" spans="1:20" x14ac:dyDescent="0.3">
      <c r="A675" t="s">
        <v>988</v>
      </c>
      <c r="B675" s="1">
        <v>45845</v>
      </c>
      <c r="C675" s="1" t="s">
        <v>1327</v>
      </c>
      <c r="D675" t="s">
        <v>231</v>
      </c>
      <c r="E675" t="s">
        <v>1338</v>
      </c>
      <c r="F675" t="s">
        <v>38</v>
      </c>
      <c r="G675" t="s">
        <v>23</v>
      </c>
      <c r="H675" t="s">
        <v>56</v>
      </c>
      <c r="I675">
        <v>78306</v>
      </c>
      <c r="J675">
        <v>0</v>
      </c>
      <c r="K675">
        <v>0</v>
      </c>
      <c r="L675">
        <v>0</v>
      </c>
      <c r="M675">
        <v>0</v>
      </c>
      <c r="N675">
        <v>593</v>
      </c>
      <c r="O675">
        <v>67</v>
      </c>
      <c r="P675" t="s">
        <v>25</v>
      </c>
      <c r="Q675">
        <v>1102184</v>
      </c>
      <c r="R675" t="s">
        <v>26</v>
      </c>
      <c r="S675" t="s">
        <v>27</v>
      </c>
      <c r="T675" t="s">
        <v>34</v>
      </c>
    </row>
    <row r="676" spans="1:20" x14ac:dyDescent="0.3">
      <c r="A676" t="s">
        <v>989</v>
      </c>
      <c r="B676" s="1">
        <v>45743</v>
      </c>
      <c r="C676" s="1" t="s">
        <v>1323</v>
      </c>
      <c r="D676" t="s">
        <v>990</v>
      </c>
      <c r="E676" t="s">
        <v>21</v>
      </c>
      <c r="F676" t="s">
        <v>38</v>
      </c>
      <c r="G676" t="s">
        <v>59</v>
      </c>
      <c r="H676" t="s">
        <v>52</v>
      </c>
      <c r="I676">
        <v>0</v>
      </c>
      <c r="J676">
        <v>0</v>
      </c>
      <c r="K676">
        <v>0</v>
      </c>
      <c r="L676">
        <v>45548</v>
      </c>
      <c r="M676">
        <v>0</v>
      </c>
      <c r="N676">
        <v>558</v>
      </c>
      <c r="O676">
        <v>64</v>
      </c>
      <c r="P676" t="s">
        <v>32</v>
      </c>
      <c r="Q676">
        <v>1153101</v>
      </c>
      <c r="R676" t="s">
        <v>26</v>
      </c>
      <c r="S676" t="s">
        <v>33</v>
      </c>
      <c r="T676" t="s">
        <v>34</v>
      </c>
    </row>
    <row r="677" spans="1:20" x14ac:dyDescent="0.3">
      <c r="A677" t="s">
        <v>991</v>
      </c>
      <c r="B677" s="1">
        <v>45764</v>
      </c>
      <c r="C677" s="1" t="s">
        <v>1324</v>
      </c>
      <c r="D677" t="s">
        <v>490</v>
      </c>
      <c r="E677" t="s">
        <v>63</v>
      </c>
      <c r="F677" t="s">
        <v>44</v>
      </c>
      <c r="G677" t="s">
        <v>59</v>
      </c>
      <c r="H677" t="s">
        <v>24</v>
      </c>
      <c r="I677">
        <v>0</v>
      </c>
      <c r="J677">
        <v>0</v>
      </c>
      <c r="K677">
        <v>0</v>
      </c>
      <c r="L677">
        <v>0</v>
      </c>
      <c r="M677">
        <v>6928.93</v>
      </c>
      <c r="N677">
        <v>527</v>
      </c>
      <c r="O677">
        <v>62</v>
      </c>
      <c r="P677" t="s">
        <v>25</v>
      </c>
      <c r="Q677">
        <v>711790</v>
      </c>
      <c r="R677" t="s">
        <v>49</v>
      </c>
      <c r="S677" t="s">
        <v>27</v>
      </c>
      <c r="T677" t="s">
        <v>41</v>
      </c>
    </row>
    <row r="678" spans="1:20" x14ac:dyDescent="0.3">
      <c r="A678" t="s">
        <v>992</v>
      </c>
      <c r="B678" s="1">
        <v>45836</v>
      </c>
      <c r="C678" s="1" t="s">
        <v>1326</v>
      </c>
      <c r="D678" t="s">
        <v>738</v>
      </c>
      <c r="E678" t="s">
        <v>21</v>
      </c>
      <c r="F678" t="s">
        <v>64</v>
      </c>
      <c r="G678" t="s">
        <v>39</v>
      </c>
      <c r="H678" t="s">
        <v>40</v>
      </c>
      <c r="I678">
        <v>0</v>
      </c>
      <c r="J678">
        <v>33014</v>
      </c>
      <c r="K678">
        <v>0</v>
      </c>
      <c r="L678">
        <v>0</v>
      </c>
      <c r="M678">
        <v>0</v>
      </c>
      <c r="N678">
        <v>749</v>
      </c>
      <c r="O678">
        <v>38</v>
      </c>
      <c r="P678" t="s">
        <v>32</v>
      </c>
      <c r="Q678">
        <v>1757628</v>
      </c>
      <c r="R678" t="s">
        <v>49</v>
      </c>
      <c r="S678" t="s">
        <v>27</v>
      </c>
      <c r="T678" t="s">
        <v>45</v>
      </c>
    </row>
    <row r="679" spans="1:20" x14ac:dyDescent="0.3">
      <c r="A679" t="s">
        <v>993</v>
      </c>
      <c r="B679" s="1">
        <v>45896</v>
      </c>
      <c r="C679" s="1" t="s">
        <v>1328</v>
      </c>
      <c r="D679" t="s">
        <v>784</v>
      </c>
      <c r="E679" t="s">
        <v>55</v>
      </c>
      <c r="F679" t="s">
        <v>21</v>
      </c>
      <c r="G679" t="s">
        <v>68</v>
      </c>
      <c r="H679" t="s">
        <v>52</v>
      </c>
      <c r="I679">
        <v>0</v>
      </c>
      <c r="J679">
        <v>0</v>
      </c>
      <c r="K679">
        <v>0</v>
      </c>
      <c r="L679">
        <v>21457</v>
      </c>
      <c r="M679">
        <v>0</v>
      </c>
      <c r="N679">
        <v>400</v>
      </c>
      <c r="O679">
        <v>35</v>
      </c>
      <c r="P679" t="s">
        <v>25</v>
      </c>
      <c r="Q679">
        <v>2356728</v>
      </c>
      <c r="R679" t="s">
        <v>26</v>
      </c>
      <c r="S679" t="s">
        <v>74</v>
      </c>
      <c r="T679" t="s">
        <v>28</v>
      </c>
    </row>
    <row r="680" spans="1:20" x14ac:dyDescent="0.3">
      <c r="A680" t="s">
        <v>994</v>
      </c>
      <c r="B680" s="1">
        <v>45707</v>
      </c>
      <c r="C680" s="1" t="s">
        <v>1322</v>
      </c>
      <c r="D680" t="s">
        <v>177</v>
      </c>
      <c r="E680" t="s">
        <v>55</v>
      </c>
      <c r="F680" t="s">
        <v>38</v>
      </c>
      <c r="G680" t="s">
        <v>39</v>
      </c>
      <c r="H680" t="s">
        <v>52</v>
      </c>
      <c r="I680">
        <v>0</v>
      </c>
      <c r="J680">
        <v>0</v>
      </c>
      <c r="K680">
        <v>0</v>
      </c>
      <c r="L680">
        <v>44073</v>
      </c>
      <c r="M680">
        <v>0</v>
      </c>
      <c r="N680">
        <v>432</v>
      </c>
      <c r="O680">
        <v>21</v>
      </c>
      <c r="P680" t="s">
        <v>32</v>
      </c>
      <c r="Q680">
        <v>778099</v>
      </c>
      <c r="R680" t="s">
        <v>49</v>
      </c>
      <c r="S680" t="s">
        <v>74</v>
      </c>
      <c r="T680" t="s">
        <v>60</v>
      </c>
    </row>
    <row r="681" spans="1:20" x14ac:dyDescent="0.3">
      <c r="A681" t="s">
        <v>995</v>
      </c>
      <c r="B681" s="1">
        <v>45834</v>
      </c>
      <c r="C681" s="1" t="s">
        <v>1326</v>
      </c>
      <c r="D681" t="s">
        <v>996</v>
      </c>
      <c r="E681" t="s">
        <v>48</v>
      </c>
      <c r="F681" t="s">
        <v>64</v>
      </c>
      <c r="G681" t="s">
        <v>39</v>
      </c>
      <c r="H681" t="s">
        <v>24</v>
      </c>
      <c r="I681">
        <v>0</v>
      </c>
      <c r="J681">
        <v>0</v>
      </c>
      <c r="K681">
        <v>0</v>
      </c>
      <c r="L681">
        <v>0</v>
      </c>
      <c r="M681">
        <v>7367.85</v>
      </c>
      <c r="N681">
        <v>482</v>
      </c>
      <c r="O681">
        <v>64</v>
      </c>
      <c r="P681" t="s">
        <v>25</v>
      </c>
      <c r="Q681">
        <v>407099</v>
      </c>
      <c r="R681" t="s">
        <v>26</v>
      </c>
      <c r="S681" t="s">
        <v>27</v>
      </c>
      <c r="T681" t="s">
        <v>45</v>
      </c>
    </row>
    <row r="682" spans="1:20" x14ac:dyDescent="0.3">
      <c r="A682" t="s">
        <v>997</v>
      </c>
      <c r="B682" s="1">
        <v>45854</v>
      </c>
      <c r="C682" s="1" t="s">
        <v>1327</v>
      </c>
      <c r="D682" t="s">
        <v>984</v>
      </c>
      <c r="E682" t="s">
        <v>21</v>
      </c>
      <c r="F682" t="s">
        <v>21</v>
      </c>
      <c r="G682" t="s">
        <v>68</v>
      </c>
      <c r="H682" t="s">
        <v>31</v>
      </c>
      <c r="I682">
        <v>0</v>
      </c>
      <c r="J682">
        <v>0</v>
      </c>
      <c r="K682">
        <v>739047</v>
      </c>
      <c r="L682">
        <v>0</v>
      </c>
      <c r="M682">
        <v>0</v>
      </c>
      <c r="N682">
        <v>405</v>
      </c>
      <c r="O682">
        <v>35</v>
      </c>
      <c r="P682" t="s">
        <v>25</v>
      </c>
      <c r="Q682">
        <v>1280350</v>
      </c>
      <c r="R682" t="s">
        <v>49</v>
      </c>
      <c r="S682" t="s">
        <v>33</v>
      </c>
      <c r="T682" t="s">
        <v>28</v>
      </c>
    </row>
    <row r="683" spans="1:20" x14ac:dyDescent="0.3">
      <c r="A683" t="s">
        <v>998</v>
      </c>
      <c r="B683" s="1">
        <v>45933</v>
      </c>
      <c r="C683" s="1" t="s">
        <v>1330</v>
      </c>
      <c r="D683" t="s">
        <v>348</v>
      </c>
      <c r="E683" t="s">
        <v>55</v>
      </c>
      <c r="F683" t="s">
        <v>22</v>
      </c>
      <c r="G683" t="s">
        <v>68</v>
      </c>
      <c r="H683" t="s">
        <v>31</v>
      </c>
      <c r="I683">
        <v>0</v>
      </c>
      <c r="J683">
        <v>0</v>
      </c>
      <c r="K683">
        <v>921558</v>
      </c>
      <c r="L683">
        <v>0</v>
      </c>
      <c r="M683">
        <v>0</v>
      </c>
      <c r="N683">
        <v>861</v>
      </c>
      <c r="O683">
        <v>54</v>
      </c>
      <c r="P683" t="s">
        <v>32</v>
      </c>
      <c r="Q683">
        <v>2801432</v>
      </c>
      <c r="R683" t="s">
        <v>49</v>
      </c>
      <c r="S683" t="s">
        <v>65</v>
      </c>
      <c r="T683" t="s">
        <v>34</v>
      </c>
    </row>
    <row r="684" spans="1:20" x14ac:dyDescent="0.3">
      <c r="A684" t="s">
        <v>999</v>
      </c>
      <c r="B684" s="1">
        <v>45807</v>
      </c>
      <c r="C684" s="1" t="s">
        <v>1325</v>
      </c>
      <c r="D684" t="s">
        <v>640</v>
      </c>
      <c r="E684" t="s">
        <v>63</v>
      </c>
      <c r="F684" t="s">
        <v>44</v>
      </c>
      <c r="G684" t="s">
        <v>39</v>
      </c>
      <c r="H684" t="s">
        <v>52</v>
      </c>
      <c r="I684">
        <v>0</v>
      </c>
      <c r="J684">
        <v>0</v>
      </c>
      <c r="K684">
        <v>0</v>
      </c>
      <c r="L684">
        <v>42819</v>
      </c>
      <c r="M684">
        <v>0</v>
      </c>
      <c r="N684">
        <v>607</v>
      </c>
      <c r="O684">
        <v>21</v>
      </c>
      <c r="P684" t="s">
        <v>25</v>
      </c>
      <c r="Q684">
        <v>2584780</v>
      </c>
      <c r="R684" t="s">
        <v>49</v>
      </c>
      <c r="S684" t="s">
        <v>33</v>
      </c>
      <c r="T684" t="s">
        <v>60</v>
      </c>
    </row>
    <row r="685" spans="1:20" x14ac:dyDescent="0.3">
      <c r="A685" t="s">
        <v>1000</v>
      </c>
      <c r="B685" s="1">
        <v>45866</v>
      </c>
      <c r="C685" s="1" t="s">
        <v>1327</v>
      </c>
      <c r="D685" t="s">
        <v>615</v>
      </c>
      <c r="E685" t="s">
        <v>21</v>
      </c>
      <c r="F685" t="s">
        <v>64</v>
      </c>
      <c r="G685" t="s">
        <v>23</v>
      </c>
      <c r="H685" t="s">
        <v>31</v>
      </c>
      <c r="I685">
        <v>0</v>
      </c>
      <c r="J685">
        <v>0</v>
      </c>
      <c r="K685">
        <v>1100023</v>
      </c>
      <c r="L685">
        <v>0</v>
      </c>
      <c r="M685">
        <v>0</v>
      </c>
      <c r="N685">
        <v>868</v>
      </c>
      <c r="O685">
        <v>69</v>
      </c>
      <c r="P685" t="s">
        <v>32</v>
      </c>
      <c r="Q685">
        <v>1736019</v>
      </c>
      <c r="R685" t="s">
        <v>49</v>
      </c>
      <c r="S685" t="s">
        <v>33</v>
      </c>
      <c r="T685" t="s">
        <v>34</v>
      </c>
    </row>
    <row r="686" spans="1:20" x14ac:dyDescent="0.3">
      <c r="A686" t="s">
        <v>1001</v>
      </c>
      <c r="B686" s="1">
        <v>45673</v>
      </c>
      <c r="C686" s="1" t="s">
        <v>1321</v>
      </c>
      <c r="D686" t="s">
        <v>215</v>
      </c>
      <c r="E686" t="s">
        <v>37</v>
      </c>
      <c r="F686" t="s">
        <v>21</v>
      </c>
      <c r="G686" t="s">
        <v>23</v>
      </c>
      <c r="H686" t="s">
        <v>56</v>
      </c>
      <c r="I686">
        <v>160879</v>
      </c>
      <c r="J686">
        <v>0</v>
      </c>
      <c r="K686">
        <v>0</v>
      </c>
      <c r="L686">
        <v>0</v>
      </c>
      <c r="M686">
        <v>0</v>
      </c>
      <c r="N686">
        <v>304</v>
      </c>
      <c r="O686">
        <v>31</v>
      </c>
      <c r="P686" t="s">
        <v>25</v>
      </c>
      <c r="Q686">
        <v>584163</v>
      </c>
      <c r="R686" t="s">
        <v>26</v>
      </c>
      <c r="S686" t="s">
        <v>27</v>
      </c>
      <c r="T686" t="s">
        <v>41</v>
      </c>
    </row>
    <row r="687" spans="1:20" x14ac:dyDescent="0.3">
      <c r="A687" t="s">
        <v>1002</v>
      </c>
      <c r="B687" s="1">
        <v>45841</v>
      </c>
      <c r="C687" s="1" t="s">
        <v>1327</v>
      </c>
      <c r="D687" t="s">
        <v>167</v>
      </c>
      <c r="E687" t="s">
        <v>21</v>
      </c>
      <c r="F687" t="s">
        <v>21</v>
      </c>
      <c r="G687" t="s">
        <v>59</v>
      </c>
      <c r="H687" t="s">
        <v>40</v>
      </c>
      <c r="I687">
        <v>0</v>
      </c>
      <c r="J687">
        <v>29831</v>
      </c>
      <c r="K687">
        <v>0</v>
      </c>
      <c r="L687">
        <v>0</v>
      </c>
      <c r="M687">
        <v>0</v>
      </c>
      <c r="N687">
        <v>752</v>
      </c>
      <c r="O687">
        <v>58</v>
      </c>
      <c r="P687" t="s">
        <v>32</v>
      </c>
      <c r="Q687">
        <v>2357378</v>
      </c>
      <c r="R687" t="s">
        <v>49</v>
      </c>
      <c r="S687" t="s">
        <v>27</v>
      </c>
      <c r="T687" t="s">
        <v>28</v>
      </c>
    </row>
    <row r="688" spans="1:20" x14ac:dyDescent="0.3">
      <c r="A688" t="s">
        <v>1003</v>
      </c>
      <c r="B688" s="1">
        <v>45879</v>
      </c>
      <c r="C688" s="1" t="s">
        <v>1328</v>
      </c>
      <c r="D688" t="s">
        <v>965</v>
      </c>
      <c r="E688" t="s">
        <v>77</v>
      </c>
      <c r="F688" t="s">
        <v>21</v>
      </c>
      <c r="G688" t="s">
        <v>68</v>
      </c>
      <c r="H688" t="s">
        <v>40</v>
      </c>
      <c r="I688">
        <v>0</v>
      </c>
      <c r="J688">
        <v>91551</v>
      </c>
      <c r="K688">
        <v>0</v>
      </c>
      <c r="L688">
        <v>0</v>
      </c>
      <c r="M688">
        <v>0</v>
      </c>
      <c r="N688">
        <v>869</v>
      </c>
      <c r="O688">
        <v>46</v>
      </c>
      <c r="P688" t="s">
        <v>25</v>
      </c>
      <c r="Q688">
        <v>2715133</v>
      </c>
      <c r="R688" t="s">
        <v>49</v>
      </c>
      <c r="S688" t="s">
        <v>27</v>
      </c>
      <c r="T688" t="s">
        <v>45</v>
      </c>
    </row>
    <row r="689" spans="1:20" x14ac:dyDescent="0.3">
      <c r="A689" t="s">
        <v>1004</v>
      </c>
      <c r="B689" s="1">
        <v>45710</v>
      </c>
      <c r="C689" s="1" t="s">
        <v>1322</v>
      </c>
      <c r="D689" t="s">
        <v>73</v>
      </c>
      <c r="E689" t="s">
        <v>77</v>
      </c>
      <c r="F689" t="s">
        <v>38</v>
      </c>
      <c r="G689" t="s">
        <v>23</v>
      </c>
      <c r="H689" t="s">
        <v>31</v>
      </c>
      <c r="I689">
        <v>0</v>
      </c>
      <c r="J689">
        <v>0</v>
      </c>
      <c r="K689">
        <v>1276788</v>
      </c>
      <c r="L689">
        <v>0</v>
      </c>
      <c r="M689">
        <v>0</v>
      </c>
      <c r="N689">
        <v>718</v>
      </c>
      <c r="O689">
        <v>34</v>
      </c>
      <c r="P689" t="s">
        <v>32</v>
      </c>
      <c r="Q689">
        <v>2888466</v>
      </c>
      <c r="R689" t="s">
        <v>49</v>
      </c>
      <c r="S689" t="s">
        <v>33</v>
      </c>
      <c r="T689" t="s">
        <v>41</v>
      </c>
    </row>
    <row r="690" spans="1:20" x14ac:dyDescent="0.3">
      <c r="A690" t="s">
        <v>1005</v>
      </c>
      <c r="B690" s="1">
        <v>45921</v>
      </c>
      <c r="C690" s="1" t="s">
        <v>1329</v>
      </c>
      <c r="D690" t="s">
        <v>443</v>
      </c>
      <c r="E690" t="s">
        <v>21</v>
      </c>
      <c r="F690" t="s">
        <v>21</v>
      </c>
      <c r="G690" t="s">
        <v>59</v>
      </c>
      <c r="H690" t="s">
        <v>24</v>
      </c>
      <c r="I690">
        <v>0</v>
      </c>
      <c r="J690">
        <v>0</v>
      </c>
      <c r="K690">
        <v>0</v>
      </c>
      <c r="L690">
        <v>0</v>
      </c>
      <c r="M690">
        <v>1570.15</v>
      </c>
      <c r="N690">
        <v>529</v>
      </c>
      <c r="O690">
        <v>25</v>
      </c>
      <c r="P690" t="s">
        <v>32</v>
      </c>
      <c r="Q690">
        <v>2811541</v>
      </c>
      <c r="R690" t="s">
        <v>26</v>
      </c>
      <c r="S690" t="s">
        <v>27</v>
      </c>
      <c r="T690" t="s">
        <v>28</v>
      </c>
    </row>
    <row r="691" spans="1:20" x14ac:dyDescent="0.3">
      <c r="A691" t="s">
        <v>1006</v>
      </c>
      <c r="B691" s="1">
        <v>45697</v>
      </c>
      <c r="C691" s="1" t="s">
        <v>1322</v>
      </c>
      <c r="D691" t="s">
        <v>695</v>
      </c>
      <c r="E691" t="s">
        <v>21</v>
      </c>
      <c r="F691" t="s">
        <v>21</v>
      </c>
      <c r="G691" t="s">
        <v>59</v>
      </c>
      <c r="H691" t="s">
        <v>56</v>
      </c>
      <c r="I691">
        <v>4180</v>
      </c>
      <c r="J691">
        <v>0</v>
      </c>
      <c r="K691">
        <v>0</v>
      </c>
      <c r="L691">
        <v>0</v>
      </c>
      <c r="M691">
        <v>0</v>
      </c>
      <c r="N691">
        <v>781</v>
      </c>
      <c r="O691">
        <v>61</v>
      </c>
      <c r="P691" t="s">
        <v>25</v>
      </c>
      <c r="Q691">
        <v>1848398</v>
      </c>
      <c r="R691" t="s">
        <v>26</v>
      </c>
      <c r="S691" t="s">
        <v>27</v>
      </c>
      <c r="T691" t="s">
        <v>41</v>
      </c>
    </row>
    <row r="692" spans="1:20" x14ac:dyDescent="0.3">
      <c r="A692" t="s">
        <v>1007</v>
      </c>
      <c r="B692" s="1">
        <v>45991</v>
      </c>
      <c r="C692" s="1" t="s">
        <v>1331</v>
      </c>
      <c r="D692" t="s">
        <v>233</v>
      </c>
      <c r="E692" t="s">
        <v>37</v>
      </c>
      <c r="F692" t="s">
        <v>44</v>
      </c>
      <c r="G692" t="s">
        <v>39</v>
      </c>
      <c r="H692" t="s">
        <v>31</v>
      </c>
      <c r="I692">
        <v>0</v>
      </c>
      <c r="J692">
        <v>0</v>
      </c>
      <c r="K692">
        <v>1165995</v>
      </c>
      <c r="L692">
        <v>0</v>
      </c>
      <c r="M692">
        <v>0</v>
      </c>
      <c r="N692">
        <v>383</v>
      </c>
      <c r="O692">
        <v>35</v>
      </c>
      <c r="P692" t="s">
        <v>25</v>
      </c>
      <c r="Q692">
        <v>595433</v>
      </c>
      <c r="R692" t="s">
        <v>26</v>
      </c>
      <c r="S692" t="s">
        <v>33</v>
      </c>
      <c r="T692" t="s">
        <v>34</v>
      </c>
    </row>
    <row r="693" spans="1:20" x14ac:dyDescent="0.3">
      <c r="A693" t="s">
        <v>1008</v>
      </c>
      <c r="B693" s="1">
        <v>45671</v>
      </c>
      <c r="C693" s="1" t="s">
        <v>1321</v>
      </c>
      <c r="D693" t="s">
        <v>332</v>
      </c>
      <c r="E693" t="s">
        <v>55</v>
      </c>
      <c r="F693" t="s">
        <v>38</v>
      </c>
      <c r="G693" t="s">
        <v>68</v>
      </c>
      <c r="H693" t="s">
        <v>52</v>
      </c>
      <c r="I693">
        <v>0</v>
      </c>
      <c r="J693">
        <v>0</v>
      </c>
      <c r="K693">
        <v>0</v>
      </c>
      <c r="L693">
        <v>41437</v>
      </c>
      <c r="M693">
        <v>0</v>
      </c>
      <c r="N693">
        <v>378</v>
      </c>
      <c r="O693">
        <v>59</v>
      </c>
      <c r="P693" t="s">
        <v>25</v>
      </c>
      <c r="Q693">
        <v>2027349</v>
      </c>
      <c r="R693" t="s">
        <v>49</v>
      </c>
      <c r="S693" t="s">
        <v>74</v>
      </c>
      <c r="T693" t="s">
        <v>60</v>
      </c>
    </row>
    <row r="694" spans="1:20" x14ac:dyDescent="0.3">
      <c r="A694" t="s">
        <v>1009</v>
      </c>
      <c r="B694" s="1">
        <v>45989</v>
      </c>
      <c r="C694" s="1" t="s">
        <v>1331</v>
      </c>
      <c r="D694" t="s">
        <v>20</v>
      </c>
      <c r="E694" t="s">
        <v>21</v>
      </c>
      <c r="F694" t="s">
        <v>64</v>
      </c>
      <c r="G694" t="s">
        <v>23</v>
      </c>
      <c r="H694" t="s">
        <v>40</v>
      </c>
      <c r="I694">
        <v>0</v>
      </c>
      <c r="J694">
        <v>25525</v>
      </c>
      <c r="K694">
        <v>0</v>
      </c>
      <c r="L694">
        <v>0</v>
      </c>
      <c r="M694">
        <v>0</v>
      </c>
      <c r="N694">
        <v>865</v>
      </c>
      <c r="O694">
        <v>27</v>
      </c>
      <c r="P694" t="s">
        <v>32</v>
      </c>
      <c r="Q694">
        <v>1768805</v>
      </c>
      <c r="R694" t="s">
        <v>49</v>
      </c>
      <c r="S694" t="s">
        <v>27</v>
      </c>
      <c r="T694" t="s">
        <v>60</v>
      </c>
    </row>
    <row r="695" spans="1:20" x14ac:dyDescent="0.3">
      <c r="A695" t="s">
        <v>1010</v>
      </c>
      <c r="B695" s="1">
        <v>45809</v>
      </c>
      <c r="C695" s="1" t="s">
        <v>1326</v>
      </c>
      <c r="D695" t="s">
        <v>191</v>
      </c>
      <c r="E695" t="s">
        <v>21</v>
      </c>
      <c r="F695" t="s">
        <v>38</v>
      </c>
      <c r="G695" t="s">
        <v>59</v>
      </c>
      <c r="H695" t="s">
        <v>52</v>
      </c>
      <c r="I695">
        <v>0</v>
      </c>
      <c r="J695">
        <v>0</v>
      </c>
      <c r="K695">
        <v>0</v>
      </c>
      <c r="L695">
        <v>24875</v>
      </c>
      <c r="M695">
        <v>0</v>
      </c>
      <c r="N695">
        <v>713</v>
      </c>
      <c r="O695">
        <v>66</v>
      </c>
      <c r="P695" t="s">
        <v>32</v>
      </c>
      <c r="Q695">
        <v>2491083</v>
      </c>
      <c r="R695" t="s">
        <v>49</v>
      </c>
      <c r="S695" t="s">
        <v>33</v>
      </c>
      <c r="T695" t="s">
        <v>28</v>
      </c>
    </row>
    <row r="696" spans="1:20" x14ac:dyDescent="0.3">
      <c r="A696" t="s">
        <v>1011</v>
      </c>
      <c r="B696" s="1">
        <v>46010</v>
      </c>
      <c r="C696" s="1" t="s">
        <v>1332</v>
      </c>
      <c r="D696" t="s">
        <v>198</v>
      </c>
      <c r="E696" t="s">
        <v>77</v>
      </c>
      <c r="F696" t="s">
        <v>44</v>
      </c>
      <c r="G696" t="s">
        <v>59</v>
      </c>
      <c r="H696" t="s">
        <v>24</v>
      </c>
      <c r="I696">
        <v>0</v>
      </c>
      <c r="J696">
        <v>0</v>
      </c>
      <c r="K696">
        <v>0</v>
      </c>
      <c r="L696">
        <v>0</v>
      </c>
      <c r="M696">
        <v>4119.3500000000004</v>
      </c>
      <c r="N696">
        <v>366</v>
      </c>
      <c r="O696">
        <v>58</v>
      </c>
      <c r="P696" t="s">
        <v>32</v>
      </c>
      <c r="Q696">
        <v>677813</v>
      </c>
      <c r="R696" t="s">
        <v>49</v>
      </c>
      <c r="S696" t="s">
        <v>27</v>
      </c>
      <c r="T696" t="s">
        <v>28</v>
      </c>
    </row>
    <row r="697" spans="1:20" x14ac:dyDescent="0.3">
      <c r="A697" t="s">
        <v>1012</v>
      </c>
      <c r="B697" s="1">
        <v>45881</v>
      </c>
      <c r="C697" s="1" t="s">
        <v>1328</v>
      </c>
      <c r="D697" t="s">
        <v>315</v>
      </c>
      <c r="E697" t="s">
        <v>55</v>
      </c>
      <c r="F697" t="s">
        <v>64</v>
      </c>
      <c r="G697" t="s">
        <v>39</v>
      </c>
      <c r="H697" t="s">
        <v>52</v>
      </c>
      <c r="I697">
        <v>0</v>
      </c>
      <c r="J697">
        <v>0</v>
      </c>
      <c r="K697">
        <v>0</v>
      </c>
      <c r="L697">
        <v>20376</v>
      </c>
      <c r="M697">
        <v>0</v>
      </c>
      <c r="N697">
        <v>422</v>
      </c>
      <c r="O697">
        <v>35</v>
      </c>
      <c r="P697" t="s">
        <v>32</v>
      </c>
      <c r="Q697">
        <v>307305</v>
      </c>
      <c r="R697" t="s">
        <v>26</v>
      </c>
      <c r="S697" t="s">
        <v>71</v>
      </c>
      <c r="T697" t="s">
        <v>45</v>
      </c>
    </row>
    <row r="698" spans="1:20" x14ac:dyDescent="0.3">
      <c r="A698" t="s">
        <v>1013</v>
      </c>
      <c r="B698" s="1">
        <v>45896</v>
      </c>
      <c r="C698" s="1" t="s">
        <v>1328</v>
      </c>
      <c r="D698" t="s">
        <v>85</v>
      </c>
      <c r="E698" t="s">
        <v>55</v>
      </c>
      <c r="F698" t="s">
        <v>38</v>
      </c>
      <c r="G698" t="s">
        <v>23</v>
      </c>
      <c r="H698" t="s">
        <v>31</v>
      </c>
      <c r="I698">
        <v>0</v>
      </c>
      <c r="J698">
        <v>0</v>
      </c>
      <c r="K698">
        <v>1619265</v>
      </c>
      <c r="L698">
        <v>0</v>
      </c>
      <c r="M698">
        <v>0</v>
      </c>
      <c r="N698">
        <v>673</v>
      </c>
      <c r="O698">
        <v>64</v>
      </c>
      <c r="P698" t="s">
        <v>25</v>
      </c>
      <c r="Q698">
        <v>589891</v>
      </c>
      <c r="R698" t="s">
        <v>26</v>
      </c>
      <c r="S698" t="s">
        <v>65</v>
      </c>
      <c r="T698" t="s">
        <v>60</v>
      </c>
    </row>
    <row r="699" spans="1:20" x14ac:dyDescent="0.3">
      <c r="A699" t="s">
        <v>1014</v>
      </c>
      <c r="B699" s="1">
        <v>45982</v>
      </c>
      <c r="C699" s="1" t="s">
        <v>1331</v>
      </c>
      <c r="D699" t="s">
        <v>620</v>
      </c>
      <c r="E699" t="s">
        <v>63</v>
      </c>
      <c r="F699" t="s">
        <v>64</v>
      </c>
      <c r="G699" t="s">
        <v>59</v>
      </c>
      <c r="H699" t="s">
        <v>56</v>
      </c>
      <c r="I699">
        <v>1820</v>
      </c>
      <c r="J699">
        <v>0</v>
      </c>
      <c r="K699">
        <v>0</v>
      </c>
      <c r="L699">
        <v>0</v>
      </c>
      <c r="M699">
        <v>0</v>
      </c>
      <c r="N699">
        <v>814</v>
      </c>
      <c r="O699">
        <v>59</v>
      </c>
      <c r="P699" t="s">
        <v>32</v>
      </c>
      <c r="Q699">
        <v>1921892</v>
      </c>
      <c r="R699" t="s">
        <v>26</v>
      </c>
      <c r="S699" t="s">
        <v>27</v>
      </c>
      <c r="T699" t="s">
        <v>28</v>
      </c>
    </row>
    <row r="700" spans="1:20" x14ac:dyDescent="0.3">
      <c r="A700" t="s">
        <v>1015</v>
      </c>
      <c r="B700" s="1">
        <v>45668</v>
      </c>
      <c r="C700" s="1" t="s">
        <v>1321</v>
      </c>
      <c r="D700" t="s">
        <v>1016</v>
      </c>
      <c r="E700" t="s">
        <v>63</v>
      </c>
      <c r="F700" t="s">
        <v>38</v>
      </c>
      <c r="G700" t="s">
        <v>23</v>
      </c>
      <c r="H700" t="s">
        <v>40</v>
      </c>
      <c r="I700">
        <v>0</v>
      </c>
      <c r="J700">
        <v>10426</v>
      </c>
      <c r="K700">
        <v>0</v>
      </c>
      <c r="L700">
        <v>0</v>
      </c>
      <c r="M700">
        <v>0</v>
      </c>
      <c r="N700">
        <v>316</v>
      </c>
      <c r="O700">
        <v>40</v>
      </c>
      <c r="P700" t="s">
        <v>32</v>
      </c>
      <c r="Q700">
        <v>1570019</v>
      </c>
      <c r="R700" t="s">
        <v>26</v>
      </c>
      <c r="S700" t="s">
        <v>27</v>
      </c>
      <c r="T700" t="s">
        <v>41</v>
      </c>
    </row>
    <row r="701" spans="1:20" x14ac:dyDescent="0.3">
      <c r="A701" t="s">
        <v>1017</v>
      </c>
      <c r="B701" s="1">
        <v>45970</v>
      </c>
      <c r="C701" s="1" t="s">
        <v>1331</v>
      </c>
      <c r="D701" t="s">
        <v>1018</v>
      </c>
      <c r="E701" t="s">
        <v>48</v>
      </c>
      <c r="F701" t="s">
        <v>64</v>
      </c>
      <c r="G701" t="s">
        <v>68</v>
      </c>
      <c r="H701" t="s">
        <v>56</v>
      </c>
      <c r="I701">
        <v>25074</v>
      </c>
      <c r="J701">
        <v>0</v>
      </c>
      <c r="K701">
        <v>0</v>
      </c>
      <c r="L701">
        <v>0</v>
      </c>
      <c r="M701">
        <v>0</v>
      </c>
      <c r="N701">
        <v>547</v>
      </c>
      <c r="O701">
        <v>69</v>
      </c>
      <c r="P701" t="s">
        <v>25</v>
      </c>
      <c r="Q701">
        <v>2845843</v>
      </c>
      <c r="R701" t="s">
        <v>49</v>
      </c>
      <c r="S701" t="s">
        <v>27</v>
      </c>
      <c r="T701" t="s">
        <v>41</v>
      </c>
    </row>
    <row r="702" spans="1:20" x14ac:dyDescent="0.3">
      <c r="A702" t="s">
        <v>1019</v>
      </c>
      <c r="B702" s="1">
        <v>45835</v>
      </c>
      <c r="C702" s="1" t="s">
        <v>1326</v>
      </c>
      <c r="D702" t="s">
        <v>342</v>
      </c>
      <c r="E702" t="s">
        <v>48</v>
      </c>
      <c r="F702" t="s">
        <v>64</v>
      </c>
      <c r="G702" t="s">
        <v>39</v>
      </c>
      <c r="H702" t="s">
        <v>56</v>
      </c>
      <c r="I702">
        <v>88509</v>
      </c>
      <c r="J702">
        <v>0</v>
      </c>
      <c r="K702">
        <v>0</v>
      </c>
      <c r="L702">
        <v>0</v>
      </c>
      <c r="M702">
        <v>0</v>
      </c>
      <c r="N702">
        <v>667</v>
      </c>
      <c r="O702">
        <v>44</v>
      </c>
      <c r="P702" t="s">
        <v>32</v>
      </c>
      <c r="Q702">
        <v>532515</v>
      </c>
      <c r="R702" t="s">
        <v>49</v>
      </c>
      <c r="S702" t="s">
        <v>27</v>
      </c>
      <c r="T702" t="s">
        <v>41</v>
      </c>
    </row>
    <row r="703" spans="1:20" x14ac:dyDescent="0.3">
      <c r="A703" t="s">
        <v>1020</v>
      </c>
      <c r="B703" s="1">
        <v>45803</v>
      </c>
      <c r="C703" s="1" t="s">
        <v>1325</v>
      </c>
      <c r="D703" t="s">
        <v>87</v>
      </c>
      <c r="E703" t="s">
        <v>63</v>
      </c>
      <c r="F703" t="s">
        <v>38</v>
      </c>
      <c r="G703" t="s">
        <v>23</v>
      </c>
      <c r="H703" t="s">
        <v>56</v>
      </c>
      <c r="I703">
        <v>39500</v>
      </c>
      <c r="J703">
        <v>0</v>
      </c>
      <c r="K703">
        <v>0</v>
      </c>
      <c r="L703">
        <v>0</v>
      </c>
      <c r="M703">
        <v>0</v>
      </c>
      <c r="N703">
        <v>587</v>
      </c>
      <c r="O703">
        <v>51</v>
      </c>
      <c r="P703" t="s">
        <v>25</v>
      </c>
      <c r="Q703">
        <v>520086</v>
      </c>
      <c r="R703" t="s">
        <v>26</v>
      </c>
      <c r="S703" t="s">
        <v>27</v>
      </c>
      <c r="T703" t="s">
        <v>34</v>
      </c>
    </row>
    <row r="704" spans="1:20" x14ac:dyDescent="0.3">
      <c r="A704" t="s">
        <v>1021</v>
      </c>
      <c r="B704" s="1">
        <v>45767</v>
      </c>
      <c r="C704" s="1" t="s">
        <v>1324</v>
      </c>
      <c r="D704" t="s">
        <v>342</v>
      </c>
      <c r="E704" t="s">
        <v>63</v>
      </c>
      <c r="F704" t="s">
        <v>64</v>
      </c>
      <c r="G704" t="s">
        <v>68</v>
      </c>
      <c r="H704" t="s">
        <v>40</v>
      </c>
      <c r="I704">
        <v>0</v>
      </c>
      <c r="J704">
        <v>9528</v>
      </c>
      <c r="K704">
        <v>0</v>
      </c>
      <c r="L704">
        <v>0</v>
      </c>
      <c r="M704">
        <v>0</v>
      </c>
      <c r="N704">
        <v>765</v>
      </c>
      <c r="O704">
        <v>65</v>
      </c>
      <c r="P704" t="s">
        <v>32</v>
      </c>
      <c r="Q704">
        <v>2640181</v>
      </c>
      <c r="R704" t="s">
        <v>49</v>
      </c>
      <c r="S704" t="s">
        <v>27</v>
      </c>
      <c r="T704" t="s">
        <v>41</v>
      </c>
    </row>
    <row r="705" spans="1:20" x14ac:dyDescent="0.3">
      <c r="A705" t="s">
        <v>1022</v>
      </c>
      <c r="B705" s="1">
        <v>45752</v>
      </c>
      <c r="C705" s="1" t="s">
        <v>1324</v>
      </c>
      <c r="D705" t="s">
        <v>202</v>
      </c>
      <c r="E705" t="s">
        <v>55</v>
      </c>
      <c r="F705" t="s">
        <v>44</v>
      </c>
      <c r="G705" t="s">
        <v>68</v>
      </c>
      <c r="H705" t="s">
        <v>56</v>
      </c>
      <c r="I705">
        <v>72430</v>
      </c>
      <c r="J705">
        <v>0</v>
      </c>
      <c r="K705">
        <v>0</v>
      </c>
      <c r="L705">
        <v>0</v>
      </c>
      <c r="M705">
        <v>0</v>
      </c>
      <c r="N705">
        <v>572</v>
      </c>
      <c r="O705">
        <v>23</v>
      </c>
      <c r="P705" t="s">
        <v>25</v>
      </c>
      <c r="Q705">
        <v>1964765</v>
      </c>
      <c r="R705" t="s">
        <v>26</v>
      </c>
      <c r="S705" t="s">
        <v>27</v>
      </c>
      <c r="T705" t="s">
        <v>41</v>
      </c>
    </row>
    <row r="706" spans="1:20" x14ac:dyDescent="0.3">
      <c r="A706" t="s">
        <v>1023</v>
      </c>
      <c r="B706" s="1">
        <v>45925</v>
      </c>
      <c r="C706" s="1" t="s">
        <v>1329</v>
      </c>
      <c r="D706" t="s">
        <v>578</v>
      </c>
      <c r="E706" t="s">
        <v>63</v>
      </c>
      <c r="F706" t="s">
        <v>44</v>
      </c>
      <c r="G706" t="s">
        <v>23</v>
      </c>
      <c r="H706" t="s">
        <v>52</v>
      </c>
      <c r="I706">
        <v>0</v>
      </c>
      <c r="J706">
        <v>0</v>
      </c>
      <c r="K706">
        <v>0</v>
      </c>
      <c r="L706">
        <v>44182</v>
      </c>
      <c r="M706">
        <v>0</v>
      </c>
      <c r="N706">
        <v>521</v>
      </c>
      <c r="O706">
        <v>30</v>
      </c>
      <c r="P706" t="s">
        <v>25</v>
      </c>
      <c r="Q706">
        <v>1062143</v>
      </c>
      <c r="R706" t="s">
        <v>49</v>
      </c>
      <c r="S706" t="s">
        <v>71</v>
      </c>
      <c r="T706" t="s">
        <v>45</v>
      </c>
    </row>
    <row r="707" spans="1:20" x14ac:dyDescent="0.3">
      <c r="A707" t="s">
        <v>1024</v>
      </c>
      <c r="B707" s="1">
        <v>45809</v>
      </c>
      <c r="C707" s="1" t="s">
        <v>1326</v>
      </c>
      <c r="D707" t="s">
        <v>198</v>
      </c>
      <c r="E707" t="s">
        <v>21</v>
      </c>
      <c r="F707" t="s">
        <v>21</v>
      </c>
      <c r="G707" t="s">
        <v>39</v>
      </c>
      <c r="H707" t="s">
        <v>24</v>
      </c>
      <c r="I707">
        <v>0</v>
      </c>
      <c r="J707">
        <v>0</v>
      </c>
      <c r="K707">
        <v>0</v>
      </c>
      <c r="L707">
        <v>0</v>
      </c>
      <c r="M707">
        <v>6810.56</v>
      </c>
      <c r="N707">
        <v>748</v>
      </c>
      <c r="O707">
        <v>20</v>
      </c>
      <c r="P707" t="s">
        <v>25</v>
      </c>
      <c r="Q707">
        <v>2774913</v>
      </c>
      <c r="R707" t="s">
        <v>49</v>
      </c>
      <c r="S707" t="s">
        <v>27</v>
      </c>
      <c r="T707" t="s">
        <v>34</v>
      </c>
    </row>
    <row r="708" spans="1:20" x14ac:dyDescent="0.3">
      <c r="A708" t="s">
        <v>1025</v>
      </c>
      <c r="B708" s="1">
        <v>45685</v>
      </c>
      <c r="C708" s="1" t="s">
        <v>1321</v>
      </c>
      <c r="D708" t="s">
        <v>710</v>
      </c>
      <c r="E708" t="s">
        <v>37</v>
      </c>
      <c r="F708" t="s">
        <v>22</v>
      </c>
      <c r="G708" t="s">
        <v>68</v>
      </c>
      <c r="H708" t="s">
        <v>31</v>
      </c>
      <c r="I708">
        <v>0</v>
      </c>
      <c r="J708">
        <v>0</v>
      </c>
      <c r="K708">
        <v>718061</v>
      </c>
      <c r="L708">
        <v>0</v>
      </c>
      <c r="M708">
        <v>0</v>
      </c>
      <c r="N708">
        <v>323</v>
      </c>
      <c r="O708">
        <v>48</v>
      </c>
      <c r="P708" t="s">
        <v>32</v>
      </c>
      <c r="Q708">
        <v>2320731</v>
      </c>
      <c r="R708" t="s">
        <v>49</v>
      </c>
      <c r="S708" t="s">
        <v>65</v>
      </c>
      <c r="T708" t="s">
        <v>60</v>
      </c>
    </row>
    <row r="709" spans="1:20" x14ac:dyDescent="0.3">
      <c r="A709" t="s">
        <v>1026</v>
      </c>
      <c r="B709" s="1">
        <v>45664</v>
      </c>
      <c r="C709" s="1" t="s">
        <v>1321</v>
      </c>
      <c r="D709" t="s">
        <v>615</v>
      </c>
      <c r="E709" t="s">
        <v>21</v>
      </c>
      <c r="F709" t="s">
        <v>64</v>
      </c>
      <c r="G709" t="s">
        <v>39</v>
      </c>
      <c r="H709" t="s">
        <v>40</v>
      </c>
      <c r="I709">
        <v>0</v>
      </c>
      <c r="J709">
        <v>31090</v>
      </c>
      <c r="K709">
        <v>0</v>
      </c>
      <c r="L709">
        <v>0</v>
      </c>
      <c r="M709">
        <v>0</v>
      </c>
      <c r="N709">
        <v>416</v>
      </c>
      <c r="O709">
        <v>37</v>
      </c>
      <c r="P709" t="s">
        <v>32</v>
      </c>
      <c r="Q709">
        <v>831341</v>
      </c>
      <c r="R709" t="s">
        <v>49</v>
      </c>
      <c r="S709" t="s">
        <v>27</v>
      </c>
      <c r="T709" t="s">
        <v>60</v>
      </c>
    </row>
    <row r="710" spans="1:20" x14ac:dyDescent="0.3">
      <c r="A710" t="s">
        <v>1027</v>
      </c>
      <c r="B710" s="1">
        <v>45908</v>
      </c>
      <c r="C710" s="1" t="s">
        <v>1329</v>
      </c>
      <c r="D710" t="s">
        <v>268</v>
      </c>
      <c r="E710" t="s">
        <v>55</v>
      </c>
      <c r="F710" t="s">
        <v>64</v>
      </c>
      <c r="G710" t="s">
        <v>59</v>
      </c>
      <c r="H710" t="s">
        <v>31</v>
      </c>
      <c r="I710">
        <v>0</v>
      </c>
      <c r="J710">
        <v>0</v>
      </c>
      <c r="K710">
        <v>1137019</v>
      </c>
      <c r="L710">
        <v>0</v>
      </c>
      <c r="M710">
        <v>0</v>
      </c>
      <c r="N710">
        <v>314</v>
      </c>
      <c r="O710">
        <v>39</v>
      </c>
      <c r="P710" t="s">
        <v>25</v>
      </c>
      <c r="Q710">
        <v>2745211</v>
      </c>
      <c r="R710" t="s">
        <v>26</v>
      </c>
      <c r="S710" t="s">
        <v>33</v>
      </c>
      <c r="T710" t="s">
        <v>60</v>
      </c>
    </row>
    <row r="711" spans="1:20" x14ac:dyDescent="0.3">
      <c r="A711" t="s">
        <v>1028</v>
      </c>
      <c r="B711" s="1">
        <v>46014</v>
      </c>
      <c r="C711" s="1" t="s">
        <v>1332</v>
      </c>
      <c r="D711" t="s">
        <v>688</v>
      </c>
      <c r="E711" t="s">
        <v>63</v>
      </c>
      <c r="F711" t="s">
        <v>44</v>
      </c>
      <c r="G711" t="s">
        <v>39</v>
      </c>
      <c r="H711" t="s">
        <v>52</v>
      </c>
      <c r="I711">
        <v>0</v>
      </c>
      <c r="J711">
        <v>0</v>
      </c>
      <c r="K711">
        <v>0</v>
      </c>
      <c r="L711">
        <v>25467</v>
      </c>
      <c r="M711">
        <v>0</v>
      </c>
      <c r="N711">
        <v>806</v>
      </c>
      <c r="O711">
        <v>24</v>
      </c>
      <c r="P711" t="s">
        <v>32</v>
      </c>
      <c r="Q711">
        <v>2860162</v>
      </c>
      <c r="R711" t="s">
        <v>26</v>
      </c>
      <c r="S711" t="s">
        <v>33</v>
      </c>
      <c r="T711" t="s">
        <v>28</v>
      </c>
    </row>
    <row r="712" spans="1:20" x14ac:dyDescent="0.3">
      <c r="A712" t="s">
        <v>1029</v>
      </c>
      <c r="B712" s="1">
        <v>45725</v>
      </c>
      <c r="C712" s="1" t="s">
        <v>1323</v>
      </c>
      <c r="D712" t="s">
        <v>70</v>
      </c>
      <c r="E712" t="s">
        <v>63</v>
      </c>
      <c r="F712" t="s">
        <v>38</v>
      </c>
      <c r="G712" t="s">
        <v>39</v>
      </c>
      <c r="H712" t="s">
        <v>52</v>
      </c>
      <c r="I712">
        <v>0</v>
      </c>
      <c r="J712">
        <v>0</v>
      </c>
      <c r="K712">
        <v>0</v>
      </c>
      <c r="L712">
        <v>31190</v>
      </c>
      <c r="M712">
        <v>0</v>
      </c>
      <c r="N712">
        <v>699</v>
      </c>
      <c r="O712">
        <v>38</v>
      </c>
      <c r="P712" t="s">
        <v>25</v>
      </c>
      <c r="Q712">
        <v>2092400</v>
      </c>
      <c r="R712" t="s">
        <v>49</v>
      </c>
      <c r="S712" t="s">
        <v>74</v>
      </c>
      <c r="T712" t="s">
        <v>34</v>
      </c>
    </row>
    <row r="713" spans="1:20" x14ac:dyDescent="0.3">
      <c r="A713" t="s">
        <v>1030</v>
      </c>
      <c r="B713" s="1">
        <v>45977</v>
      </c>
      <c r="C713" s="1" t="s">
        <v>1331</v>
      </c>
      <c r="D713" t="s">
        <v>1031</v>
      </c>
      <c r="E713" t="s">
        <v>37</v>
      </c>
      <c r="F713" t="s">
        <v>21</v>
      </c>
      <c r="G713" t="s">
        <v>68</v>
      </c>
      <c r="H713" t="s">
        <v>24</v>
      </c>
      <c r="I713">
        <v>0</v>
      </c>
      <c r="J713">
        <v>0</v>
      </c>
      <c r="K713">
        <v>0</v>
      </c>
      <c r="L713">
        <v>0</v>
      </c>
      <c r="M713">
        <v>9799.0499999999993</v>
      </c>
      <c r="N713">
        <v>766</v>
      </c>
      <c r="O713">
        <v>54</v>
      </c>
      <c r="P713" t="s">
        <v>25</v>
      </c>
      <c r="Q713">
        <v>2064541</v>
      </c>
      <c r="R713" t="s">
        <v>26</v>
      </c>
      <c r="S713" t="s">
        <v>27</v>
      </c>
      <c r="T713" t="s">
        <v>45</v>
      </c>
    </row>
    <row r="714" spans="1:20" x14ac:dyDescent="0.3">
      <c r="A714" t="s">
        <v>1032</v>
      </c>
      <c r="B714" s="1">
        <v>45730</v>
      </c>
      <c r="C714" s="1" t="s">
        <v>1323</v>
      </c>
      <c r="D714" t="s">
        <v>1031</v>
      </c>
      <c r="E714" t="s">
        <v>48</v>
      </c>
      <c r="F714" t="s">
        <v>44</v>
      </c>
      <c r="G714" t="s">
        <v>39</v>
      </c>
      <c r="H714" t="s">
        <v>31</v>
      </c>
      <c r="I714">
        <v>0</v>
      </c>
      <c r="J714">
        <v>0</v>
      </c>
      <c r="K714">
        <v>517068</v>
      </c>
      <c r="L714">
        <v>0</v>
      </c>
      <c r="M714">
        <v>0</v>
      </c>
      <c r="N714">
        <v>616</v>
      </c>
      <c r="O714">
        <v>37</v>
      </c>
      <c r="P714" t="s">
        <v>25</v>
      </c>
      <c r="Q714">
        <v>329375</v>
      </c>
      <c r="R714" t="s">
        <v>49</v>
      </c>
      <c r="S714" t="s">
        <v>65</v>
      </c>
      <c r="T714" t="s">
        <v>28</v>
      </c>
    </row>
    <row r="715" spans="1:20" x14ac:dyDescent="0.3">
      <c r="A715" t="s">
        <v>1033</v>
      </c>
      <c r="B715" s="1">
        <v>45872</v>
      </c>
      <c r="C715" s="1" t="s">
        <v>1328</v>
      </c>
      <c r="D715" t="s">
        <v>85</v>
      </c>
      <c r="E715" t="s">
        <v>21</v>
      </c>
      <c r="F715" t="s">
        <v>22</v>
      </c>
      <c r="G715" t="s">
        <v>68</v>
      </c>
      <c r="H715" t="s">
        <v>40</v>
      </c>
      <c r="I715">
        <v>0</v>
      </c>
      <c r="J715">
        <v>60039</v>
      </c>
      <c r="K715">
        <v>0</v>
      </c>
      <c r="L715">
        <v>0</v>
      </c>
      <c r="M715">
        <v>0</v>
      </c>
      <c r="N715">
        <v>629</v>
      </c>
      <c r="O715">
        <v>24</v>
      </c>
      <c r="P715" t="s">
        <v>32</v>
      </c>
      <c r="Q715">
        <v>1187962</v>
      </c>
      <c r="R715" t="s">
        <v>49</v>
      </c>
      <c r="S715" t="s">
        <v>27</v>
      </c>
      <c r="T715" t="s">
        <v>60</v>
      </c>
    </row>
    <row r="716" spans="1:20" x14ac:dyDescent="0.3">
      <c r="A716" t="s">
        <v>1034</v>
      </c>
      <c r="B716" s="1">
        <v>45952</v>
      </c>
      <c r="C716" s="1" t="s">
        <v>1330</v>
      </c>
      <c r="D716" t="s">
        <v>740</v>
      </c>
      <c r="E716" t="s">
        <v>77</v>
      </c>
      <c r="F716" t="s">
        <v>38</v>
      </c>
      <c r="G716" t="s">
        <v>39</v>
      </c>
      <c r="H716" t="s">
        <v>31</v>
      </c>
      <c r="I716">
        <v>0</v>
      </c>
      <c r="J716">
        <v>0</v>
      </c>
      <c r="K716">
        <v>483692</v>
      </c>
      <c r="L716">
        <v>0</v>
      </c>
      <c r="M716">
        <v>0</v>
      </c>
      <c r="N716">
        <v>833</v>
      </c>
      <c r="O716">
        <v>62</v>
      </c>
      <c r="P716" t="s">
        <v>25</v>
      </c>
      <c r="Q716">
        <v>2226660</v>
      </c>
      <c r="R716" t="s">
        <v>26</v>
      </c>
      <c r="S716" t="s">
        <v>33</v>
      </c>
      <c r="T716" t="s">
        <v>45</v>
      </c>
    </row>
    <row r="717" spans="1:20" x14ac:dyDescent="0.3">
      <c r="A717" t="s">
        <v>1035</v>
      </c>
      <c r="B717" s="1">
        <v>45907</v>
      </c>
      <c r="C717" s="1" t="s">
        <v>1329</v>
      </c>
      <c r="D717" t="s">
        <v>155</v>
      </c>
      <c r="E717" t="s">
        <v>48</v>
      </c>
      <c r="F717" t="s">
        <v>22</v>
      </c>
      <c r="G717" t="s">
        <v>59</v>
      </c>
      <c r="H717" t="s">
        <v>31</v>
      </c>
      <c r="I717">
        <v>0</v>
      </c>
      <c r="J717">
        <v>0</v>
      </c>
      <c r="K717">
        <v>1480968</v>
      </c>
      <c r="L717">
        <v>0</v>
      </c>
      <c r="M717">
        <v>0</v>
      </c>
      <c r="N717">
        <v>428</v>
      </c>
      <c r="O717">
        <v>50</v>
      </c>
      <c r="P717" t="s">
        <v>25</v>
      </c>
      <c r="Q717">
        <v>2667085</v>
      </c>
      <c r="R717" t="s">
        <v>49</v>
      </c>
      <c r="S717" t="s">
        <v>33</v>
      </c>
      <c r="T717" t="s">
        <v>28</v>
      </c>
    </row>
    <row r="718" spans="1:20" x14ac:dyDescent="0.3">
      <c r="A718" t="s">
        <v>1036</v>
      </c>
      <c r="B718" s="1">
        <v>45918</v>
      </c>
      <c r="C718" s="1" t="s">
        <v>1329</v>
      </c>
      <c r="D718" t="s">
        <v>1037</v>
      </c>
      <c r="E718" t="s">
        <v>55</v>
      </c>
      <c r="F718" t="s">
        <v>22</v>
      </c>
      <c r="G718" t="s">
        <v>59</v>
      </c>
      <c r="H718" t="s">
        <v>31</v>
      </c>
      <c r="I718">
        <v>0</v>
      </c>
      <c r="J718">
        <v>0</v>
      </c>
      <c r="K718">
        <v>1145376</v>
      </c>
      <c r="L718">
        <v>0</v>
      </c>
      <c r="M718">
        <v>0</v>
      </c>
      <c r="N718">
        <v>751</v>
      </c>
      <c r="O718">
        <v>20</v>
      </c>
      <c r="P718" t="s">
        <v>32</v>
      </c>
      <c r="Q718">
        <v>1695230</v>
      </c>
      <c r="R718" t="s">
        <v>49</v>
      </c>
      <c r="S718" t="s">
        <v>33</v>
      </c>
      <c r="T718" t="s">
        <v>41</v>
      </c>
    </row>
    <row r="719" spans="1:20" x14ac:dyDescent="0.3">
      <c r="A719" t="s">
        <v>1038</v>
      </c>
      <c r="B719" s="1">
        <v>45732</v>
      </c>
      <c r="C719" s="1" t="s">
        <v>1323</v>
      </c>
      <c r="D719" t="s">
        <v>738</v>
      </c>
      <c r="E719" t="s">
        <v>55</v>
      </c>
      <c r="F719" t="s">
        <v>38</v>
      </c>
      <c r="G719" t="s">
        <v>68</v>
      </c>
      <c r="H719" t="s">
        <v>31</v>
      </c>
      <c r="I719">
        <v>0</v>
      </c>
      <c r="J719">
        <v>0</v>
      </c>
      <c r="K719">
        <v>1458194</v>
      </c>
      <c r="L719">
        <v>0</v>
      </c>
      <c r="M719">
        <v>0</v>
      </c>
      <c r="N719">
        <v>801</v>
      </c>
      <c r="O719">
        <v>22</v>
      </c>
      <c r="P719" t="s">
        <v>25</v>
      </c>
      <c r="Q719">
        <v>1992242</v>
      </c>
      <c r="R719" t="s">
        <v>49</v>
      </c>
      <c r="S719" t="s">
        <v>65</v>
      </c>
      <c r="T719" t="s">
        <v>45</v>
      </c>
    </row>
    <row r="720" spans="1:20" x14ac:dyDescent="0.3">
      <c r="A720" t="s">
        <v>1039</v>
      </c>
      <c r="B720" s="1">
        <v>45696</v>
      </c>
      <c r="C720" s="1" t="s">
        <v>1322</v>
      </c>
      <c r="D720" t="s">
        <v>217</v>
      </c>
      <c r="E720" t="s">
        <v>37</v>
      </c>
      <c r="F720" t="s">
        <v>22</v>
      </c>
      <c r="G720" t="s">
        <v>39</v>
      </c>
      <c r="H720" t="s">
        <v>31</v>
      </c>
      <c r="I720">
        <v>0</v>
      </c>
      <c r="J720">
        <v>0</v>
      </c>
      <c r="K720">
        <v>1556015</v>
      </c>
      <c r="L720">
        <v>0</v>
      </c>
      <c r="M720">
        <v>0</v>
      </c>
      <c r="N720">
        <v>646</v>
      </c>
      <c r="O720">
        <v>24</v>
      </c>
      <c r="P720" t="s">
        <v>25</v>
      </c>
      <c r="Q720">
        <v>2373803</v>
      </c>
      <c r="R720" t="s">
        <v>26</v>
      </c>
      <c r="S720" t="s">
        <v>65</v>
      </c>
      <c r="T720" t="s">
        <v>41</v>
      </c>
    </row>
    <row r="721" spans="1:20" x14ac:dyDescent="0.3">
      <c r="A721" t="s">
        <v>1040</v>
      </c>
      <c r="B721" s="1">
        <v>45958</v>
      </c>
      <c r="C721" s="1" t="s">
        <v>1330</v>
      </c>
      <c r="D721" t="s">
        <v>684</v>
      </c>
      <c r="E721" t="s">
        <v>63</v>
      </c>
      <c r="F721" t="s">
        <v>21</v>
      </c>
      <c r="G721" t="s">
        <v>23</v>
      </c>
      <c r="H721" t="s">
        <v>24</v>
      </c>
      <c r="I721">
        <v>0</v>
      </c>
      <c r="J721">
        <v>0</v>
      </c>
      <c r="K721">
        <v>0</v>
      </c>
      <c r="L721">
        <v>0</v>
      </c>
      <c r="M721">
        <v>4251.3999999999996</v>
      </c>
      <c r="N721">
        <v>776</v>
      </c>
      <c r="O721">
        <v>66</v>
      </c>
      <c r="P721" t="s">
        <v>32</v>
      </c>
      <c r="Q721">
        <v>1627319</v>
      </c>
      <c r="R721" t="s">
        <v>49</v>
      </c>
      <c r="S721" t="s">
        <v>27</v>
      </c>
      <c r="T721" t="s">
        <v>60</v>
      </c>
    </row>
    <row r="722" spans="1:20" x14ac:dyDescent="0.3">
      <c r="A722" t="s">
        <v>1041</v>
      </c>
      <c r="B722" s="1">
        <v>45946</v>
      </c>
      <c r="C722" s="1" t="s">
        <v>1330</v>
      </c>
      <c r="D722" t="s">
        <v>879</v>
      </c>
      <c r="E722" t="s">
        <v>55</v>
      </c>
      <c r="F722" t="s">
        <v>64</v>
      </c>
      <c r="G722" t="s">
        <v>68</v>
      </c>
      <c r="H722" t="s">
        <v>52</v>
      </c>
      <c r="I722">
        <v>0</v>
      </c>
      <c r="J722">
        <v>0</v>
      </c>
      <c r="K722">
        <v>0</v>
      </c>
      <c r="L722">
        <v>28318</v>
      </c>
      <c r="M722">
        <v>0</v>
      </c>
      <c r="N722">
        <v>544</v>
      </c>
      <c r="O722">
        <v>41</v>
      </c>
      <c r="P722" t="s">
        <v>32</v>
      </c>
      <c r="Q722">
        <v>2413177</v>
      </c>
      <c r="R722" t="s">
        <v>26</v>
      </c>
      <c r="S722" t="s">
        <v>74</v>
      </c>
      <c r="T722" t="s">
        <v>28</v>
      </c>
    </row>
    <row r="723" spans="1:20" x14ac:dyDescent="0.3">
      <c r="A723" t="s">
        <v>1042</v>
      </c>
      <c r="B723" s="1">
        <v>45666</v>
      </c>
      <c r="C723" s="1" t="s">
        <v>1321</v>
      </c>
      <c r="D723" t="s">
        <v>1043</v>
      </c>
      <c r="E723" t="s">
        <v>55</v>
      </c>
      <c r="F723" t="s">
        <v>21</v>
      </c>
      <c r="G723" t="s">
        <v>59</v>
      </c>
      <c r="H723" t="s">
        <v>56</v>
      </c>
      <c r="I723">
        <v>80449</v>
      </c>
      <c r="J723">
        <v>0</v>
      </c>
      <c r="K723">
        <v>0</v>
      </c>
      <c r="L723">
        <v>0</v>
      </c>
      <c r="M723">
        <v>0</v>
      </c>
      <c r="N723">
        <v>461</v>
      </c>
      <c r="O723">
        <v>24</v>
      </c>
      <c r="P723" t="s">
        <v>32</v>
      </c>
      <c r="Q723">
        <v>622550</v>
      </c>
      <c r="R723" t="s">
        <v>26</v>
      </c>
      <c r="S723" t="s">
        <v>27</v>
      </c>
      <c r="T723" t="s">
        <v>45</v>
      </c>
    </row>
    <row r="724" spans="1:20" x14ac:dyDescent="0.3">
      <c r="A724" t="s">
        <v>1044</v>
      </c>
      <c r="B724" s="1">
        <v>45911</v>
      </c>
      <c r="C724" s="1" t="s">
        <v>1329</v>
      </c>
      <c r="D724" t="s">
        <v>163</v>
      </c>
      <c r="E724" t="s">
        <v>21</v>
      </c>
      <c r="F724" t="s">
        <v>64</v>
      </c>
      <c r="G724" t="s">
        <v>59</v>
      </c>
      <c r="H724" t="s">
        <v>52</v>
      </c>
      <c r="I724">
        <v>0</v>
      </c>
      <c r="J724">
        <v>0</v>
      </c>
      <c r="K724">
        <v>0</v>
      </c>
      <c r="L724">
        <v>46597</v>
      </c>
      <c r="M724">
        <v>0</v>
      </c>
      <c r="N724">
        <v>545</v>
      </c>
      <c r="O724">
        <v>53</v>
      </c>
      <c r="P724" t="s">
        <v>25</v>
      </c>
      <c r="Q724">
        <v>260208</v>
      </c>
      <c r="R724" t="s">
        <v>49</v>
      </c>
      <c r="S724" t="s">
        <v>74</v>
      </c>
      <c r="T724" t="s">
        <v>41</v>
      </c>
    </row>
    <row r="725" spans="1:20" x14ac:dyDescent="0.3">
      <c r="A725" t="s">
        <v>1045</v>
      </c>
      <c r="B725" s="1">
        <v>45757</v>
      </c>
      <c r="C725" s="1" t="s">
        <v>1324</v>
      </c>
      <c r="D725" t="s">
        <v>1046</v>
      </c>
      <c r="E725" t="s">
        <v>55</v>
      </c>
      <c r="F725" t="s">
        <v>21</v>
      </c>
      <c r="G725" t="s">
        <v>23</v>
      </c>
      <c r="H725" t="s">
        <v>56</v>
      </c>
      <c r="I725">
        <v>112027</v>
      </c>
      <c r="J725">
        <v>0</v>
      </c>
      <c r="K725">
        <v>0</v>
      </c>
      <c r="L725">
        <v>0</v>
      </c>
      <c r="M725">
        <v>0</v>
      </c>
      <c r="N725">
        <v>456</v>
      </c>
      <c r="O725">
        <v>35</v>
      </c>
      <c r="P725" t="s">
        <v>25</v>
      </c>
      <c r="Q725">
        <v>2242454</v>
      </c>
      <c r="R725" t="s">
        <v>26</v>
      </c>
      <c r="S725" t="s">
        <v>27</v>
      </c>
      <c r="T725" t="s">
        <v>60</v>
      </c>
    </row>
    <row r="726" spans="1:20" x14ac:dyDescent="0.3">
      <c r="A726" t="s">
        <v>1047</v>
      </c>
      <c r="B726" s="1">
        <v>45709</v>
      </c>
      <c r="C726" s="1" t="s">
        <v>1322</v>
      </c>
      <c r="D726" t="s">
        <v>67</v>
      </c>
      <c r="E726" t="s">
        <v>77</v>
      </c>
      <c r="F726" t="s">
        <v>21</v>
      </c>
      <c r="G726" t="s">
        <v>23</v>
      </c>
      <c r="H726" t="s">
        <v>31</v>
      </c>
      <c r="I726">
        <v>0</v>
      </c>
      <c r="J726">
        <v>0</v>
      </c>
      <c r="K726">
        <v>295929</v>
      </c>
      <c r="L726">
        <v>0</v>
      </c>
      <c r="M726">
        <v>0</v>
      </c>
      <c r="N726">
        <v>370</v>
      </c>
      <c r="O726">
        <v>51</v>
      </c>
      <c r="P726" t="s">
        <v>25</v>
      </c>
      <c r="Q726">
        <v>2481771</v>
      </c>
      <c r="R726" t="s">
        <v>26</v>
      </c>
      <c r="S726" t="s">
        <v>65</v>
      </c>
      <c r="T726" t="s">
        <v>34</v>
      </c>
    </row>
    <row r="727" spans="1:20" x14ac:dyDescent="0.3">
      <c r="A727" t="s">
        <v>1048</v>
      </c>
      <c r="B727" s="1">
        <v>45773</v>
      </c>
      <c r="C727" s="1" t="s">
        <v>1324</v>
      </c>
      <c r="D727" t="s">
        <v>293</v>
      </c>
      <c r="E727" t="s">
        <v>21</v>
      </c>
      <c r="F727" t="s">
        <v>21</v>
      </c>
      <c r="G727" t="s">
        <v>39</v>
      </c>
      <c r="H727" t="s">
        <v>40</v>
      </c>
      <c r="I727">
        <v>0</v>
      </c>
      <c r="J727">
        <v>93436</v>
      </c>
      <c r="K727">
        <v>0</v>
      </c>
      <c r="L727">
        <v>0</v>
      </c>
      <c r="M727">
        <v>0</v>
      </c>
      <c r="N727">
        <v>703</v>
      </c>
      <c r="O727">
        <v>57</v>
      </c>
      <c r="P727" t="s">
        <v>32</v>
      </c>
      <c r="Q727">
        <v>1968467</v>
      </c>
      <c r="R727" t="s">
        <v>26</v>
      </c>
      <c r="S727" t="s">
        <v>27</v>
      </c>
      <c r="T727" t="s">
        <v>28</v>
      </c>
    </row>
    <row r="728" spans="1:20" x14ac:dyDescent="0.3">
      <c r="A728" t="s">
        <v>1049</v>
      </c>
      <c r="B728" s="1">
        <v>45747</v>
      </c>
      <c r="C728" s="1" t="s">
        <v>1323</v>
      </c>
      <c r="D728" t="s">
        <v>1018</v>
      </c>
      <c r="E728" t="s">
        <v>48</v>
      </c>
      <c r="F728" t="s">
        <v>44</v>
      </c>
      <c r="G728" t="s">
        <v>39</v>
      </c>
      <c r="H728" t="s">
        <v>56</v>
      </c>
      <c r="I728">
        <v>35161</v>
      </c>
      <c r="J728">
        <v>0</v>
      </c>
      <c r="K728">
        <v>0</v>
      </c>
      <c r="L728">
        <v>0</v>
      </c>
      <c r="M728">
        <v>0</v>
      </c>
      <c r="N728">
        <v>433</v>
      </c>
      <c r="O728">
        <v>57</v>
      </c>
      <c r="P728" t="s">
        <v>32</v>
      </c>
      <c r="Q728">
        <v>2358852</v>
      </c>
      <c r="R728" t="s">
        <v>49</v>
      </c>
      <c r="S728" t="s">
        <v>27</v>
      </c>
      <c r="T728" t="s">
        <v>45</v>
      </c>
    </row>
    <row r="729" spans="1:20" x14ac:dyDescent="0.3">
      <c r="A729" t="s">
        <v>1050</v>
      </c>
      <c r="B729" s="1">
        <v>45972</v>
      </c>
      <c r="C729" s="1" t="s">
        <v>1331</v>
      </c>
      <c r="D729" t="s">
        <v>1051</v>
      </c>
      <c r="E729" t="s">
        <v>63</v>
      </c>
      <c r="F729" t="s">
        <v>22</v>
      </c>
      <c r="G729" t="s">
        <v>39</v>
      </c>
      <c r="H729" t="s">
        <v>52</v>
      </c>
      <c r="I729">
        <v>0</v>
      </c>
      <c r="J729">
        <v>0</v>
      </c>
      <c r="K729">
        <v>0</v>
      </c>
      <c r="L729">
        <v>8140</v>
      </c>
      <c r="M729">
        <v>0</v>
      </c>
      <c r="N729">
        <v>364</v>
      </c>
      <c r="O729">
        <v>62</v>
      </c>
      <c r="P729" t="s">
        <v>25</v>
      </c>
      <c r="Q729">
        <v>1386689</v>
      </c>
      <c r="R729" t="s">
        <v>49</v>
      </c>
      <c r="S729" t="s">
        <v>74</v>
      </c>
      <c r="T729" t="s">
        <v>45</v>
      </c>
    </row>
    <row r="730" spans="1:20" x14ac:dyDescent="0.3">
      <c r="A730" t="s">
        <v>1052</v>
      </c>
      <c r="B730" s="1">
        <v>45892</v>
      </c>
      <c r="C730" s="1" t="s">
        <v>1328</v>
      </c>
      <c r="D730" t="s">
        <v>656</v>
      </c>
      <c r="E730" t="s">
        <v>55</v>
      </c>
      <c r="F730" t="s">
        <v>21</v>
      </c>
      <c r="G730" t="s">
        <v>59</v>
      </c>
      <c r="H730" t="s">
        <v>52</v>
      </c>
      <c r="I730">
        <v>0</v>
      </c>
      <c r="J730">
        <v>0</v>
      </c>
      <c r="K730">
        <v>0</v>
      </c>
      <c r="L730">
        <v>16144</v>
      </c>
      <c r="M730">
        <v>0</v>
      </c>
      <c r="N730">
        <v>332</v>
      </c>
      <c r="O730">
        <v>35</v>
      </c>
      <c r="P730" t="s">
        <v>32</v>
      </c>
      <c r="Q730">
        <v>268158</v>
      </c>
      <c r="R730" t="s">
        <v>26</v>
      </c>
      <c r="S730" t="s">
        <v>71</v>
      </c>
      <c r="T730" t="s">
        <v>28</v>
      </c>
    </row>
    <row r="731" spans="1:20" x14ac:dyDescent="0.3">
      <c r="A731" t="s">
        <v>1053</v>
      </c>
      <c r="B731" s="1">
        <v>45756</v>
      </c>
      <c r="C731" s="1" t="s">
        <v>1324</v>
      </c>
      <c r="D731" t="s">
        <v>931</v>
      </c>
      <c r="E731" t="s">
        <v>77</v>
      </c>
      <c r="F731" t="s">
        <v>38</v>
      </c>
      <c r="G731" t="s">
        <v>68</v>
      </c>
      <c r="H731" t="s">
        <v>52</v>
      </c>
      <c r="I731">
        <v>0</v>
      </c>
      <c r="J731">
        <v>0</v>
      </c>
      <c r="K731">
        <v>0</v>
      </c>
      <c r="L731">
        <v>46389</v>
      </c>
      <c r="M731">
        <v>0</v>
      </c>
      <c r="N731">
        <v>675</v>
      </c>
      <c r="O731">
        <v>28</v>
      </c>
      <c r="P731" t="s">
        <v>32</v>
      </c>
      <c r="Q731">
        <v>994548</v>
      </c>
      <c r="R731" t="s">
        <v>49</v>
      </c>
      <c r="S731" t="s">
        <v>71</v>
      </c>
      <c r="T731" t="s">
        <v>41</v>
      </c>
    </row>
    <row r="732" spans="1:20" x14ac:dyDescent="0.3">
      <c r="A732" t="s">
        <v>1054</v>
      </c>
      <c r="B732" s="1">
        <v>45969</v>
      </c>
      <c r="C732" s="1" t="s">
        <v>1331</v>
      </c>
      <c r="D732" t="s">
        <v>84</v>
      </c>
      <c r="E732" t="s">
        <v>48</v>
      </c>
      <c r="F732" t="s">
        <v>44</v>
      </c>
      <c r="G732" t="s">
        <v>68</v>
      </c>
      <c r="H732" t="s">
        <v>52</v>
      </c>
      <c r="I732">
        <v>0</v>
      </c>
      <c r="J732">
        <v>0</v>
      </c>
      <c r="K732">
        <v>0</v>
      </c>
      <c r="L732">
        <v>2998</v>
      </c>
      <c r="M732">
        <v>0</v>
      </c>
      <c r="N732">
        <v>630</v>
      </c>
      <c r="O732">
        <v>67</v>
      </c>
      <c r="P732" t="s">
        <v>32</v>
      </c>
      <c r="Q732">
        <v>2164137</v>
      </c>
      <c r="R732" t="s">
        <v>26</v>
      </c>
      <c r="S732" t="s">
        <v>71</v>
      </c>
      <c r="T732" t="s">
        <v>34</v>
      </c>
    </row>
    <row r="733" spans="1:20" x14ac:dyDescent="0.3">
      <c r="A733" t="s">
        <v>1055</v>
      </c>
      <c r="B733" s="1">
        <v>46011</v>
      </c>
      <c r="C733" s="1" t="s">
        <v>1332</v>
      </c>
      <c r="D733" t="s">
        <v>760</v>
      </c>
      <c r="E733" t="s">
        <v>63</v>
      </c>
      <c r="F733" t="s">
        <v>44</v>
      </c>
      <c r="G733" t="s">
        <v>23</v>
      </c>
      <c r="H733" t="s">
        <v>52</v>
      </c>
      <c r="I733">
        <v>0</v>
      </c>
      <c r="J733">
        <v>0</v>
      </c>
      <c r="K733">
        <v>0</v>
      </c>
      <c r="L733">
        <v>39053</v>
      </c>
      <c r="M733">
        <v>0</v>
      </c>
      <c r="N733">
        <v>499</v>
      </c>
      <c r="O733">
        <v>44</v>
      </c>
      <c r="P733" t="s">
        <v>25</v>
      </c>
      <c r="Q733">
        <v>928184</v>
      </c>
      <c r="R733" t="s">
        <v>49</v>
      </c>
      <c r="S733" t="s">
        <v>71</v>
      </c>
      <c r="T733" t="s">
        <v>60</v>
      </c>
    </row>
    <row r="734" spans="1:20" x14ac:dyDescent="0.3">
      <c r="A734" t="s">
        <v>1056</v>
      </c>
      <c r="B734" s="1">
        <v>45784</v>
      </c>
      <c r="C734" s="1" t="s">
        <v>1325</v>
      </c>
      <c r="D734" t="s">
        <v>54</v>
      </c>
      <c r="E734" t="s">
        <v>37</v>
      </c>
      <c r="F734" t="s">
        <v>22</v>
      </c>
      <c r="G734" t="s">
        <v>39</v>
      </c>
      <c r="H734" t="s">
        <v>31</v>
      </c>
      <c r="I734">
        <v>0</v>
      </c>
      <c r="J734">
        <v>0</v>
      </c>
      <c r="K734">
        <v>1004149</v>
      </c>
      <c r="L734">
        <v>0</v>
      </c>
      <c r="M734">
        <v>0</v>
      </c>
      <c r="N734">
        <v>881</v>
      </c>
      <c r="O734">
        <v>48</v>
      </c>
      <c r="P734" t="s">
        <v>32</v>
      </c>
      <c r="Q734">
        <v>2450422</v>
      </c>
      <c r="R734" t="s">
        <v>26</v>
      </c>
      <c r="S734" t="s">
        <v>65</v>
      </c>
      <c r="T734" t="s">
        <v>28</v>
      </c>
    </row>
    <row r="735" spans="1:20" x14ac:dyDescent="0.3">
      <c r="A735" t="s">
        <v>1057</v>
      </c>
      <c r="B735" s="1">
        <v>45941</v>
      </c>
      <c r="C735" s="1" t="s">
        <v>1330</v>
      </c>
      <c r="D735" t="s">
        <v>1058</v>
      </c>
      <c r="E735" t="s">
        <v>77</v>
      </c>
      <c r="F735" t="s">
        <v>44</v>
      </c>
      <c r="G735" t="s">
        <v>68</v>
      </c>
      <c r="H735" t="s">
        <v>31</v>
      </c>
      <c r="I735">
        <v>0</v>
      </c>
      <c r="J735">
        <v>0</v>
      </c>
      <c r="K735">
        <v>1612211</v>
      </c>
      <c r="L735">
        <v>0</v>
      </c>
      <c r="M735">
        <v>0</v>
      </c>
      <c r="N735">
        <v>612</v>
      </c>
      <c r="O735">
        <v>39</v>
      </c>
      <c r="P735" t="s">
        <v>32</v>
      </c>
      <c r="Q735">
        <v>2802792</v>
      </c>
      <c r="R735" t="s">
        <v>49</v>
      </c>
      <c r="S735" t="s">
        <v>33</v>
      </c>
      <c r="T735" t="s">
        <v>34</v>
      </c>
    </row>
    <row r="736" spans="1:20" x14ac:dyDescent="0.3">
      <c r="A736" t="s">
        <v>1059</v>
      </c>
      <c r="B736" s="1">
        <v>45762</v>
      </c>
      <c r="C736" s="1" t="s">
        <v>1324</v>
      </c>
      <c r="D736" t="s">
        <v>223</v>
      </c>
      <c r="E736" t="s">
        <v>21</v>
      </c>
      <c r="F736" t="s">
        <v>22</v>
      </c>
      <c r="G736" t="s">
        <v>59</v>
      </c>
      <c r="H736" t="s">
        <v>40</v>
      </c>
      <c r="I736">
        <v>0</v>
      </c>
      <c r="J736">
        <v>25158</v>
      </c>
      <c r="K736">
        <v>0</v>
      </c>
      <c r="L736">
        <v>0</v>
      </c>
      <c r="M736">
        <v>0</v>
      </c>
      <c r="N736">
        <v>480</v>
      </c>
      <c r="O736">
        <v>38</v>
      </c>
      <c r="P736" t="s">
        <v>25</v>
      </c>
      <c r="Q736">
        <v>2089164</v>
      </c>
      <c r="R736" t="s">
        <v>49</v>
      </c>
      <c r="S736" t="s">
        <v>27</v>
      </c>
      <c r="T736" t="s">
        <v>45</v>
      </c>
    </row>
    <row r="737" spans="1:20" x14ac:dyDescent="0.3">
      <c r="A737" t="s">
        <v>1060</v>
      </c>
      <c r="B737" s="1">
        <v>45675</v>
      </c>
      <c r="C737" s="1" t="s">
        <v>1321</v>
      </c>
      <c r="D737" t="s">
        <v>1058</v>
      </c>
      <c r="E737" t="s">
        <v>37</v>
      </c>
      <c r="F737" t="s">
        <v>22</v>
      </c>
      <c r="G737" t="s">
        <v>39</v>
      </c>
      <c r="H737" t="s">
        <v>52</v>
      </c>
      <c r="I737">
        <v>0</v>
      </c>
      <c r="J737">
        <v>0</v>
      </c>
      <c r="K737">
        <v>0</v>
      </c>
      <c r="L737">
        <v>28988</v>
      </c>
      <c r="M737">
        <v>0</v>
      </c>
      <c r="N737">
        <v>730</v>
      </c>
      <c r="O737">
        <v>59</v>
      </c>
      <c r="P737" t="s">
        <v>25</v>
      </c>
      <c r="Q737">
        <v>2761746</v>
      </c>
      <c r="R737" t="s">
        <v>26</v>
      </c>
      <c r="S737" t="s">
        <v>71</v>
      </c>
      <c r="T737" t="s">
        <v>34</v>
      </c>
    </row>
    <row r="738" spans="1:20" x14ac:dyDescent="0.3">
      <c r="A738" t="s">
        <v>1061</v>
      </c>
      <c r="B738" s="1">
        <v>45916</v>
      </c>
      <c r="C738" s="1" t="s">
        <v>1329</v>
      </c>
      <c r="D738" t="s">
        <v>152</v>
      </c>
      <c r="E738" t="s">
        <v>37</v>
      </c>
      <c r="F738" t="s">
        <v>38</v>
      </c>
      <c r="G738" t="s">
        <v>68</v>
      </c>
      <c r="H738" t="s">
        <v>40</v>
      </c>
      <c r="I738">
        <v>0</v>
      </c>
      <c r="J738">
        <v>26616</v>
      </c>
      <c r="K738">
        <v>0</v>
      </c>
      <c r="L738">
        <v>0</v>
      </c>
      <c r="M738">
        <v>0</v>
      </c>
      <c r="N738">
        <v>411</v>
      </c>
      <c r="O738">
        <v>51</v>
      </c>
      <c r="P738" t="s">
        <v>25</v>
      </c>
      <c r="Q738">
        <v>1345326</v>
      </c>
      <c r="R738" t="s">
        <v>26</v>
      </c>
      <c r="S738" t="s">
        <v>27</v>
      </c>
      <c r="T738" t="s">
        <v>28</v>
      </c>
    </row>
    <row r="739" spans="1:20" x14ac:dyDescent="0.3">
      <c r="A739" t="s">
        <v>1062</v>
      </c>
      <c r="B739" s="1">
        <v>45763</v>
      </c>
      <c r="C739" s="1" t="s">
        <v>1324</v>
      </c>
      <c r="D739" t="s">
        <v>96</v>
      </c>
      <c r="E739" t="s">
        <v>55</v>
      </c>
      <c r="F739" t="s">
        <v>44</v>
      </c>
      <c r="G739" t="s">
        <v>59</v>
      </c>
      <c r="H739" t="s">
        <v>40</v>
      </c>
      <c r="I739">
        <v>0</v>
      </c>
      <c r="J739">
        <v>98719</v>
      </c>
      <c r="K739">
        <v>0</v>
      </c>
      <c r="L739">
        <v>0</v>
      </c>
      <c r="M739">
        <v>0</v>
      </c>
      <c r="N739">
        <v>454</v>
      </c>
      <c r="O739">
        <v>52</v>
      </c>
      <c r="P739" t="s">
        <v>25</v>
      </c>
      <c r="Q739">
        <v>2601894</v>
      </c>
      <c r="R739" t="s">
        <v>26</v>
      </c>
      <c r="S739" t="s">
        <v>27</v>
      </c>
      <c r="T739" t="s">
        <v>60</v>
      </c>
    </row>
    <row r="740" spans="1:20" x14ac:dyDescent="0.3">
      <c r="A740" t="s">
        <v>1063</v>
      </c>
      <c r="B740" s="1">
        <v>45962</v>
      </c>
      <c r="C740" s="1" t="s">
        <v>1331</v>
      </c>
      <c r="D740" t="s">
        <v>524</v>
      </c>
      <c r="E740" t="s">
        <v>55</v>
      </c>
      <c r="F740" t="s">
        <v>21</v>
      </c>
      <c r="G740" t="s">
        <v>23</v>
      </c>
      <c r="H740" t="s">
        <v>52</v>
      </c>
      <c r="I740">
        <v>0</v>
      </c>
      <c r="J740">
        <v>0</v>
      </c>
      <c r="K740">
        <v>0</v>
      </c>
      <c r="L740">
        <v>5095</v>
      </c>
      <c r="M740">
        <v>0</v>
      </c>
      <c r="N740">
        <v>386</v>
      </c>
      <c r="O740">
        <v>37</v>
      </c>
      <c r="P740" t="s">
        <v>32</v>
      </c>
      <c r="Q740">
        <v>2574097</v>
      </c>
      <c r="R740" t="s">
        <v>26</v>
      </c>
      <c r="S740" t="s">
        <v>71</v>
      </c>
      <c r="T740" t="s">
        <v>41</v>
      </c>
    </row>
    <row r="741" spans="1:20" x14ac:dyDescent="0.3">
      <c r="A741" t="s">
        <v>1064</v>
      </c>
      <c r="B741" s="1">
        <v>45712</v>
      </c>
      <c r="C741" s="1" t="s">
        <v>1322</v>
      </c>
      <c r="D741" t="s">
        <v>91</v>
      </c>
      <c r="E741" t="s">
        <v>21</v>
      </c>
      <c r="F741" t="s">
        <v>21</v>
      </c>
      <c r="G741" t="s">
        <v>39</v>
      </c>
      <c r="H741" t="s">
        <v>52</v>
      </c>
      <c r="I741">
        <v>0</v>
      </c>
      <c r="J741">
        <v>0</v>
      </c>
      <c r="K741">
        <v>0</v>
      </c>
      <c r="L741">
        <v>21990</v>
      </c>
      <c r="M741">
        <v>0</v>
      </c>
      <c r="N741">
        <v>454</v>
      </c>
      <c r="O741">
        <v>50</v>
      </c>
      <c r="P741" t="s">
        <v>32</v>
      </c>
      <c r="Q741">
        <v>2826253</v>
      </c>
      <c r="R741" t="s">
        <v>26</v>
      </c>
      <c r="S741" t="s">
        <v>33</v>
      </c>
      <c r="T741" t="s">
        <v>34</v>
      </c>
    </row>
    <row r="742" spans="1:20" x14ac:dyDescent="0.3">
      <c r="A742" t="s">
        <v>1065</v>
      </c>
      <c r="B742" s="1">
        <v>45999</v>
      </c>
      <c r="C742" s="1" t="s">
        <v>1332</v>
      </c>
      <c r="D742" t="s">
        <v>438</v>
      </c>
      <c r="E742" t="s">
        <v>48</v>
      </c>
      <c r="F742" t="s">
        <v>38</v>
      </c>
      <c r="G742" t="s">
        <v>59</v>
      </c>
      <c r="H742" t="s">
        <v>56</v>
      </c>
      <c r="I742">
        <v>139284</v>
      </c>
      <c r="J742">
        <v>0</v>
      </c>
      <c r="K742">
        <v>0</v>
      </c>
      <c r="L742">
        <v>0</v>
      </c>
      <c r="M742">
        <v>0</v>
      </c>
      <c r="N742">
        <v>615</v>
      </c>
      <c r="O742">
        <v>52</v>
      </c>
      <c r="P742" t="s">
        <v>32</v>
      </c>
      <c r="Q742">
        <v>1192799</v>
      </c>
      <c r="R742" t="s">
        <v>26</v>
      </c>
      <c r="S742" t="s">
        <v>27</v>
      </c>
      <c r="T742" t="s">
        <v>28</v>
      </c>
    </row>
    <row r="743" spans="1:20" x14ac:dyDescent="0.3">
      <c r="A743" t="s">
        <v>1066</v>
      </c>
      <c r="B743" s="1">
        <v>45742</v>
      </c>
      <c r="C743" s="1" t="s">
        <v>1323</v>
      </c>
      <c r="D743" t="s">
        <v>1067</v>
      </c>
      <c r="E743" t="s">
        <v>77</v>
      </c>
      <c r="F743" t="s">
        <v>44</v>
      </c>
      <c r="G743" t="s">
        <v>59</v>
      </c>
      <c r="H743" t="s">
        <v>52</v>
      </c>
      <c r="I743">
        <v>0</v>
      </c>
      <c r="J743">
        <v>0</v>
      </c>
      <c r="K743">
        <v>0</v>
      </c>
      <c r="L743">
        <v>36837</v>
      </c>
      <c r="M743">
        <v>0</v>
      </c>
      <c r="N743">
        <v>838</v>
      </c>
      <c r="O743">
        <v>51</v>
      </c>
      <c r="P743" t="s">
        <v>25</v>
      </c>
      <c r="Q743">
        <v>1805284</v>
      </c>
      <c r="R743" t="s">
        <v>49</v>
      </c>
      <c r="S743" t="s">
        <v>74</v>
      </c>
      <c r="T743" t="s">
        <v>34</v>
      </c>
    </row>
    <row r="744" spans="1:20" x14ac:dyDescent="0.3">
      <c r="A744" t="s">
        <v>1068</v>
      </c>
      <c r="B744" s="1">
        <v>45926</v>
      </c>
      <c r="C744" s="1" t="s">
        <v>1329</v>
      </c>
      <c r="D744" t="s">
        <v>615</v>
      </c>
      <c r="E744" t="s">
        <v>55</v>
      </c>
      <c r="F744" t="s">
        <v>21</v>
      </c>
      <c r="G744" t="s">
        <v>59</v>
      </c>
      <c r="H744" t="s">
        <v>56</v>
      </c>
      <c r="I744">
        <v>131389</v>
      </c>
      <c r="J744">
        <v>0</v>
      </c>
      <c r="K744">
        <v>0</v>
      </c>
      <c r="L744">
        <v>0</v>
      </c>
      <c r="M744">
        <v>0</v>
      </c>
      <c r="N744">
        <v>430</v>
      </c>
      <c r="O744">
        <v>56</v>
      </c>
      <c r="P744" t="s">
        <v>32</v>
      </c>
      <c r="Q744">
        <v>1210004</v>
      </c>
      <c r="R744" t="s">
        <v>26</v>
      </c>
      <c r="S744" t="s">
        <v>27</v>
      </c>
      <c r="T744" t="s">
        <v>45</v>
      </c>
    </row>
    <row r="745" spans="1:20" x14ac:dyDescent="0.3">
      <c r="A745" t="s">
        <v>1069</v>
      </c>
      <c r="B745" s="1">
        <v>45909</v>
      </c>
      <c r="C745" s="1" t="s">
        <v>1329</v>
      </c>
      <c r="D745" t="s">
        <v>606</v>
      </c>
      <c r="E745" t="s">
        <v>77</v>
      </c>
      <c r="F745" t="s">
        <v>44</v>
      </c>
      <c r="G745" t="s">
        <v>39</v>
      </c>
      <c r="H745" t="s">
        <v>40</v>
      </c>
      <c r="I745">
        <v>0</v>
      </c>
      <c r="J745">
        <v>1196</v>
      </c>
      <c r="K745">
        <v>0</v>
      </c>
      <c r="L745">
        <v>0</v>
      </c>
      <c r="M745">
        <v>0</v>
      </c>
      <c r="N745">
        <v>612</v>
      </c>
      <c r="O745">
        <v>44</v>
      </c>
      <c r="P745" t="s">
        <v>32</v>
      </c>
      <c r="Q745">
        <v>2150996</v>
      </c>
      <c r="R745" t="s">
        <v>49</v>
      </c>
      <c r="S745" t="s">
        <v>27</v>
      </c>
      <c r="T745" t="s">
        <v>28</v>
      </c>
    </row>
    <row r="746" spans="1:20" x14ac:dyDescent="0.3">
      <c r="A746" t="s">
        <v>1070</v>
      </c>
      <c r="B746" s="1">
        <v>46009</v>
      </c>
      <c r="C746" s="1" t="s">
        <v>1332</v>
      </c>
      <c r="D746" t="s">
        <v>1051</v>
      </c>
      <c r="E746" t="s">
        <v>55</v>
      </c>
      <c r="F746" t="s">
        <v>44</v>
      </c>
      <c r="G746" t="s">
        <v>59</v>
      </c>
      <c r="H746" t="s">
        <v>24</v>
      </c>
      <c r="I746">
        <v>0</v>
      </c>
      <c r="J746">
        <v>0</v>
      </c>
      <c r="K746">
        <v>0</v>
      </c>
      <c r="L746">
        <v>0</v>
      </c>
      <c r="M746">
        <v>2396.6999999999998</v>
      </c>
      <c r="N746">
        <v>658</v>
      </c>
      <c r="O746">
        <v>42</v>
      </c>
      <c r="P746" t="s">
        <v>25</v>
      </c>
      <c r="Q746">
        <v>1756263</v>
      </c>
      <c r="R746" t="s">
        <v>26</v>
      </c>
      <c r="S746" t="s">
        <v>27</v>
      </c>
      <c r="T746" t="s">
        <v>34</v>
      </c>
    </row>
    <row r="747" spans="1:20" x14ac:dyDescent="0.3">
      <c r="A747" t="s">
        <v>1071</v>
      </c>
      <c r="B747" s="1">
        <v>45871</v>
      </c>
      <c r="C747" s="1" t="s">
        <v>1328</v>
      </c>
      <c r="D747" t="s">
        <v>633</v>
      </c>
      <c r="E747" t="s">
        <v>48</v>
      </c>
      <c r="F747" t="s">
        <v>38</v>
      </c>
      <c r="G747" t="s">
        <v>39</v>
      </c>
      <c r="H747" t="s">
        <v>56</v>
      </c>
      <c r="I747">
        <v>159735</v>
      </c>
      <c r="J747">
        <v>0</v>
      </c>
      <c r="K747">
        <v>0</v>
      </c>
      <c r="L747">
        <v>0</v>
      </c>
      <c r="M747">
        <v>0</v>
      </c>
      <c r="N747">
        <v>721</v>
      </c>
      <c r="O747">
        <v>47</v>
      </c>
      <c r="P747" t="s">
        <v>32</v>
      </c>
      <c r="Q747">
        <v>1349838</v>
      </c>
      <c r="R747" t="s">
        <v>49</v>
      </c>
      <c r="S747" t="s">
        <v>27</v>
      </c>
      <c r="T747" t="s">
        <v>45</v>
      </c>
    </row>
    <row r="748" spans="1:20" x14ac:dyDescent="0.3">
      <c r="A748" t="s">
        <v>1072</v>
      </c>
      <c r="B748" s="1">
        <v>45733</v>
      </c>
      <c r="C748" s="1" t="s">
        <v>1323</v>
      </c>
      <c r="D748" t="s">
        <v>884</v>
      </c>
      <c r="E748" t="s">
        <v>37</v>
      </c>
      <c r="F748" t="s">
        <v>38</v>
      </c>
      <c r="G748" t="s">
        <v>59</v>
      </c>
      <c r="H748" t="s">
        <v>40</v>
      </c>
      <c r="I748">
        <v>0</v>
      </c>
      <c r="J748">
        <v>71393</v>
      </c>
      <c r="K748">
        <v>0</v>
      </c>
      <c r="L748">
        <v>0</v>
      </c>
      <c r="M748">
        <v>0</v>
      </c>
      <c r="N748">
        <v>616</v>
      </c>
      <c r="O748">
        <v>35</v>
      </c>
      <c r="P748" t="s">
        <v>25</v>
      </c>
      <c r="Q748">
        <v>2047360</v>
      </c>
      <c r="R748" t="s">
        <v>49</v>
      </c>
      <c r="S748" t="s">
        <v>27</v>
      </c>
      <c r="T748" t="s">
        <v>41</v>
      </c>
    </row>
    <row r="749" spans="1:20" x14ac:dyDescent="0.3">
      <c r="A749" t="s">
        <v>1073</v>
      </c>
      <c r="B749" s="1">
        <v>45695</v>
      </c>
      <c r="C749" s="1" t="s">
        <v>1322</v>
      </c>
      <c r="D749" t="s">
        <v>784</v>
      </c>
      <c r="E749" t="s">
        <v>55</v>
      </c>
      <c r="F749" t="s">
        <v>21</v>
      </c>
      <c r="G749" t="s">
        <v>39</v>
      </c>
      <c r="H749" t="s">
        <v>40</v>
      </c>
      <c r="I749">
        <v>0</v>
      </c>
      <c r="J749">
        <v>25977</v>
      </c>
      <c r="K749">
        <v>0</v>
      </c>
      <c r="L749">
        <v>0</v>
      </c>
      <c r="M749">
        <v>0</v>
      </c>
      <c r="N749">
        <v>380</v>
      </c>
      <c r="O749">
        <v>33</v>
      </c>
      <c r="P749" t="s">
        <v>25</v>
      </c>
      <c r="Q749">
        <v>300209</v>
      </c>
      <c r="R749" t="s">
        <v>49</v>
      </c>
      <c r="S749" t="s">
        <v>27</v>
      </c>
      <c r="T749" t="s">
        <v>60</v>
      </c>
    </row>
    <row r="750" spans="1:20" x14ac:dyDescent="0.3">
      <c r="A750" t="s">
        <v>1074</v>
      </c>
      <c r="B750" s="1">
        <v>45952</v>
      </c>
      <c r="C750" s="1" t="s">
        <v>1330</v>
      </c>
      <c r="D750" t="s">
        <v>710</v>
      </c>
      <c r="E750" t="s">
        <v>37</v>
      </c>
      <c r="F750" t="s">
        <v>38</v>
      </c>
      <c r="G750" t="s">
        <v>59</v>
      </c>
      <c r="H750" t="s">
        <v>31</v>
      </c>
      <c r="I750">
        <v>0</v>
      </c>
      <c r="J750">
        <v>0</v>
      </c>
      <c r="K750">
        <v>601777</v>
      </c>
      <c r="L750">
        <v>0</v>
      </c>
      <c r="M750">
        <v>0</v>
      </c>
      <c r="N750">
        <v>795</v>
      </c>
      <c r="O750">
        <v>39</v>
      </c>
      <c r="P750" t="s">
        <v>25</v>
      </c>
      <c r="Q750">
        <v>1223974</v>
      </c>
      <c r="R750" t="s">
        <v>49</v>
      </c>
      <c r="S750" t="s">
        <v>33</v>
      </c>
      <c r="T750" t="s">
        <v>28</v>
      </c>
    </row>
    <row r="751" spans="1:20" x14ac:dyDescent="0.3">
      <c r="A751" t="s">
        <v>1075</v>
      </c>
      <c r="B751" s="1">
        <v>45681</v>
      </c>
      <c r="C751" s="1" t="s">
        <v>1321</v>
      </c>
      <c r="D751" t="s">
        <v>1076</v>
      </c>
      <c r="E751" t="s">
        <v>48</v>
      </c>
      <c r="F751" t="s">
        <v>38</v>
      </c>
      <c r="G751" t="s">
        <v>39</v>
      </c>
      <c r="H751" t="s">
        <v>40</v>
      </c>
      <c r="I751">
        <v>0</v>
      </c>
      <c r="J751">
        <v>25760</v>
      </c>
      <c r="K751">
        <v>0</v>
      </c>
      <c r="L751">
        <v>0</v>
      </c>
      <c r="M751">
        <v>0</v>
      </c>
      <c r="N751">
        <v>888</v>
      </c>
      <c r="O751">
        <v>26</v>
      </c>
      <c r="P751" t="s">
        <v>32</v>
      </c>
      <c r="Q751">
        <v>1726391</v>
      </c>
      <c r="R751" t="s">
        <v>26</v>
      </c>
      <c r="S751" t="s">
        <v>27</v>
      </c>
      <c r="T751" t="s">
        <v>28</v>
      </c>
    </row>
    <row r="752" spans="1:20" x14ac:dyDescent="0.3">
      <c r="A752" t="s">
        <v>1077</v>
      </c>
      <c r="B752" s="1">
        <v>45702</v>
      </c>
      <c r="C752" s="1" t="s">
        <v>1322</v>
      </c>
      <c r="D752" t="s">
        <v>416</v>
      </c>
      <c r="E752" t="s">
        <v>77</v>
      </c>
      <c r="F752" t="s">
        <v>44</v>
      </c>
      <c r="G752" t="s">
        <v>68</v>
      </c>
      <c r="H752" t="s">
        <v>40</v>
      </c>
      <c r="I752">
        <v>0</v>
      </c>
      <c r="J752">
        <v>30919</v>
      </c>
      <c r="K752">
        <v>0</v>
      </c>
      <c r="L752">
        <v>0</v>
      </c>
      <c r="M752">
        <v>0</v>
      </c>
      <c r="N752">
        <v>527</v>
      </c>
      <c r="O752">
        <v>68</v>
      </c>
      <c r="P752" t="s">
        <v>25</v>
      </c>
      <c r="Q752">
        <v>2512675</v>
      </c>
      <c r="R752" t="s">
        <v>49</v>
      </c>
      <c r="S752" t="s">
        <v>27</v>
      </c>
      <c r="T752" t="s">
        <v>34</v>
      </c>
    </row>
    <row r="753" spans="1:20" x14ac:dyDescent="0.3">
      <c r="A753" t="s">
        <v>1078</v>
      </c>
      <c r="B753" s="1">
        <v>45687</v>
      </c>
      <c r="C753" s="1" t="s">
        <v>1321</v>
      </c>
      <c r="D753" t="s">
        <v>1079</v>
      </c>
      <c r="E753" t="s">
        <v>21</v>
      </c>
      <c r="F753" t="s">
        <v>21</v>
      </c>
      <c r="G753" t="s">
        <v>68</v>
      </c>
      <c r="H753" t="s">
        <v>52</v>
      </c>
      <c r="I753">
        <v>0</v>
      </c>
      <c r="J753">
        <v>0</v>
      </c>
      <c r="K753">
        <v>0</v>
      </c>
      <c r="L753">
        <v>4138</v>
      </c>
      <c r="M753">
        <v>0</v>
      </c>
      <c r="N753">
        <v>840</v>
      </c>
      <c r="O753">
        <v>37</v>
      </c>
      <c r="P753" t="s">
        <v>25</v>
      </c>
      <c r="Q753">
        <v>586590</v>
      </c>
      <c r="R753" t="s">
        <v>26</v>
      </c>
      <c r="S753" t="s">
        <v>71</v>
      </c>
      <c r="T753" t="s">
        <v>41</v>
      </c>
    </row>
    <row r="754" spans="1:20" x14ac:dyDescent="0.3">
      <c r="A754" t="s">
        <v>1080</v>
      </c>
      <c r="B754" s="1">
        <v>45795</v>
      </c>
      <c r="C754" s="1" t="s">
        <v>1325</v>
      </c>
      <c r="D754" t="s">
        <v>169</v>
      </c>
      <c r="E754" t="s">
        <v>21</v>
      </c>
      <c r="F754" t="s">
        <v>22</v>
      </c>
      <c r="G754" t="s">
        <v>68</v>
      </c>
      <c r="H754" t="s">
        <v>40</v>
      </c>
      <c r="I754">
        <v>0</v>
      </c>
      <c r="J754">
        <v>82736</v>
      </c>
      <c r="K754">
        <v>0</v>
      </c>
      <c r="L754">
        <v>0</v>
      </c>
      <c r="M754">
        <v>0</v>
      </c>
      <c r="N754">
        <v>378</v>
      </c>
      <c r="O754">
        <v>29</v>
      </c>
      <c r="P754" t="s">
        <v>32</v>
      </c>
      <c r="Q754">
        <v>2917784</v>
      </c>
      <c r="R754" t="s">
        <v>26</v>
      </c>
      <c r="S754" t="s">
        <v>27</v>
      </c>
      <c r="T754" t="s">
        <v>60</v>
      </c>
    </row>
    <row r="755" spans="1:20" x14ac:dyDescent="0.3">
      <c r="A755" t="s">
        <v>1081</v>
      </c>
      <c r="B755" s="1">
        <v>45935</v>
      </c>
      <c r="C755" s="1" t="s">
        <v>1330</v>
      </c>
      <c r="D755" t="s">
        <v>553</v>
      </c>
      <c r="E755" t="s">
        <v>63</v>
      </c>
      <c r="F755" t="s">
        <v>38</v>
      </c>
      <c r="G755" t="s">
        <v>39</v>
      </c>
      <c r="H755" t="s">
        <v>52</v>
      </c>
      <c r="I755">
        <v>0</v>
      </c>
      <c r="J755">
        <v>0</v>
      </c>
      <c r="K755">
        <v>0</v>
      </c>
      <c r="L755">
        <v>23492</v>
      </c>
      <c r="M755">
        <v>0</v>
      </c>
      <c r="N755">
        <v>697</v>
      </c>
      <c r="O755">
        <v>63</v>
      </c>
      <c r="P755" t="s">
        <v>25</v>
      </c>
      <c r="Q755">
        <v>1691921</v>
      </c>
      <c r="R755" t="s">
        <v>49</v>
      </c>
      <c r="S755" t="s">
        <v>71</v>
      </c>
      <c r="T755" t="s">
        <v>34</v>
      </c>
    </row>
    <row r="756" spans="1:20" x14ac:dyDescent="0.3">
      <c r="A756" t="s">
        <v>1082</v>
      </c>
      <c r="B756" s="1">
        <v>45771</v>
      </c>
      <c r="C756" s="1" t="s">
        <v>1324</v>
      </c>
      <c r="D756" t="s">
        <v>169</v>
      </c>
      <c r="E756" t="s">
        <v>77</v>
      </c>
      <c r="F756" t="s">
        <v>64</v>
      </c>
      <c r="G756" t="s">
        <v>59</v>
      </c>
      <c r="H756" t="s">
        <v>31</v>
      </c>
      <c r="I756">
        <v>0</v>
      </c>
      <c r="J756">
        <v>0</v>
      </c>
      <c r="K756">
        <v>665025</v>
      </c>
      <c r="L756">
        <v>0</v>
      </c>
      <c r="M756">
        <v>0</v>
      </c>
      <c r="N756">
        <v>709</v>
      </c>
      <c r="O756">
        <v>64</v>
      </c>
      <c r="P756" t="s">
        <v>25</v>
      </c>
      <c r="Q756">
        <v>670243</v>
      </c>
      <c r="R756" t="s">
        <v>49</v>
      </c>
      <c r="S756" t="s">
        <v>65</v>
      </c>
      <c r="T756" t="s">
        <v>45</v>
      </c>
    </row>
    <row r="757" spans="1:20" x14ac:dyDescent="0.3">
      <c r="A757" t="s">
        <v>1083</v>
      </c>
      <c r="B757" s="1">
        <v>46011</v>
      </c>
      <c r="C757" s="1" t="s">
        <v>1332</v>
      </c>
      <c r="D757" t="s">
        <v>509</v>
      </c>
      <c r="E757" t="s">
        <v>21</v>
      </c>
      <c r="F757" t="s">
        <v>38</v>
      </c>
      <c r="G757" t="s">
        <v>23</v>
      </c>
      <c r="H757" t="s">
        <v>56</v>
      </c>
      <c r="I757">
        <v>63909</v>
      </c>
      <c r="J757">
        <v>0</v>
      </c>
      <c r="K757">
        <v>0</v>
      </c>
      <c r="L757">
        <v>0</v>
      </c>
      <c r="M757">
        <v>0</v>
      </c>
      <c r="N757">
        <v>786</v>
      </c>
      <c r="O757">
        <v>38</v>
      </c>
      <c r="P757" t="s">
        <v>32</v>
      </c>
      <c r="Q757">
        <v>2743918</v>
      </c>
      <c r="R757" t="s">
        <v>26</v>
      </c>
      <c r="S757" t="s">
        <v>27</v>
      </c>
      <c r="T757" t="s">
        <v>45</v>
      </c>
    </row>
    <row r="758" spans="1:20" x14ac:dyDescent="0.3">
      <c r="A758" t="s">
        <v>1084</v>
      </c>
      <c r="B758" s="1">
        <v>45878</v>
      </c>
      <c r="C758" s="1" t="s">
        <v>1328</v>
      </c>
      <c r="D758" t="s">
        <v>406</v>
      </c>
      <c r="E758" t="s">
        <v>63</v>
      </c>
      <c r="F758" t="s">
        <v>44</v>
      </c>
      <c r="G758" t="s">
        <v>59</v>
      </c>
      <c r="H758" t="s">
        <v>52</v>
      </c>
      <c r="I758">
        <v>0</v>
      </c>
      <c r="J758">
        <v>0</v>
      </c>
      <c r="K758">
        <v>0</v>
      </c>
      <c r="L758">
        <v>16865</v>
      </c>
      <c r="M758">
        <v>0</v>
      </c>
      <c r="N758">
        <v>303</v>
      </c>
      <c r="O758">
        <v>62</v>
      </c>
      <c r="P758" t="s">
        <v>25</v>
      </c>
      <c r="Q758">
        <v>2856632</v>
      </c>
      <c r="R758" t="s">
        <v>49</v>
      </c>
      <c r="S758" t="s">
        <v>71</v>
      </c>
      <c r="T758" t="s">
        <v>45</v>
      </c>
    </row>
    <row r="759" spans="1:20" x14ac:dyDescent="0.3">
      <c r="A759" t="s">
        <v>1085</v>
      </c>
      <c r="B759" s="1">
        <v>45844</v>
      </c>
      <c r="C759" s="1" t="s">
        <v>1327</v>
      </c>
      <c r="D759" t="s">
        <v>702</v>
      </c>
      <c r="E759" t="s">
        <v>55</v>
      </c>
      <c r="F759" t="s">
        <v>22</v>
      </c>
      <c r="G759" t="s">
        <v>59</v>
      </c>
      <c r="H759" t="s">
        <v>40</v>
      </c>
      <c r="I759">
        <v>0</v>
      </c>
      <c r="J759">
        <v>28506</v>
      </c>
      <c r="K759">
        <v>0</v>
      </c>
      <c r="L759">
        <v>0</v>
      </c>
      <c r="M759">
        <v>0</v>
      </c>
      <c r="N759">
        <v>767</v>
      </c>
      <c r="O759">
        <v>56</v>
      </c>
      <c r="P759" t="s">
        <v>32</v>
      </c>
      <c r="Q759">
        <v>2897152</v>
      </c>
      <c r="R759" t="s">
        <v>26</v>
      </c>
      <c r="S759" t="s">
        <v>27</v>
      </c>
      <c r="T759" t="s">
        <v>41</v>
      </c>
    </row>
    <row r="760" spans="1:20" x14ac:dyDescent="0.3">
      <c r="A760" t="s">
        <v>1086</v>
      </c>
      <c r="B760" s="1">
        <v>45916</v>
      </c>
      <c r="C760" s="1" t="s">
        <v>1329</v>
      </c>
      <c r="D760" t="s">
        <v>438</v>
      </c>
      <c r="E760" t="s">
        <v>55</v>
      </c>
      <c r="F760" t="s">
        <v>44</v>
      </c>
      <c r="G760" t="s">
        <v>23</v>
      </c>
      <c r="H760" t="s">
        <v>31</v>
      </c>
      <c r="I760">
        <v>0</v>
      </c>
      <c r="J760">
        <v>0</v>
      </c>
      <c r="K760">
        <v>1314397</v>
      </c>
      <c r="L760">
        <v>0</v>
      </c>
      <c r="M760">
        <v>0</v>
      </c>
      <c r="N760">
        <v>519</v>
      </c>
      <c r="O760">
        <v>64</v>
      </c>
      <c r="P760" t="s">
        <v>32</v>
      </c>
      <c r="Q760">
        <v>1965564</v>
      </c>
      <c r="R760" t="s">
        <v>49</v>
      </c>
      <c r="S760" t="s">
        <v>33</v>
      </c>
      <c r="T760" t="s">
        <v>34</v>
      </c>
    </row>
    <row r="761" spans="1:20" x14ac:dyDescent="0.3">
      <c r="A761" t="s">
        <v>1087</v>
      </c>
      <c r="B761" s="1">
        <v>45666</v>
      </c>
      <c r="C761" s="1" t="s">
        <v>1321</v>
      </c>
      <c r="D761" t="s">
        <v>724</v>
      </c>
      <c r="E761" t="s">
        <v>37</v>
      </c>
      <c r="F761" t="s">
        <v>38</v>
      </c>
      <c r="G761" t="s">
        <v>68</v>
      </c>
      <c r="H761" t="s">
        <v>56</v>
      </c>
      <c r="I761">
        <v>23305</v>
      </c>
      <c r="J761">
        <v>0</v>
      </c>
      <c r="K761">
        <v>0</v>
      </c>
      <c r="L761">
        <v>0</v>
      </c>
      <c r="M761">
        <v>0</v>
      </c>
      <c r="N761">
        <v>426</v>
      </c>
      <c r="O761">
        <v>19</v>
      </c>
      <c r="P761" t="s">
        <v>25</v>
      </c>
      <c r="Q761">
        <v>1531452</v>
      </c>
      <c r="R761" t="s">
        <v>49</v>
      </c>
      <c r="S761" t="s">
        <v>27</v>
      </c>
      <c r="T761" t="s">
        <v>45</v>
      </c>
    </row>
    <row r="762" spans="1:20" x14ac:dyDescent="0.3">
      <c r="A762" t="s">
        <v>1088</v>
      </c>
      <c r="B762" s="1">
        <v>45704</v>
      </c>
      <c r="C762" s="1" t="s">
        <v>1322</v>
      </c>
      <c r="D762" t="s">
        <v>1089</v>
      </c>
      <c r="E762" t="s">
        <v>48</v>
      </c>
      <c r="F762" t="s">
        <v>44</v>
      </c>
      <c r="G762" t="s">
        <v>23</v>
      </c>
      <c r="H762" t="s">
        <v>56</v>
      </c>
      <c r="I762">
        <v>95827</v>
      </c>
      <c r="J762">
        <v>0</v>
      </c>
      <c r="K762">
        <v>0</v>
      </c>
      <c r="L762">
        <v>0</v>
      </c>
      <c r="M762">
        <v>0</v>
      </c>
      <c r="N762">
        <v>696</v>
      </c>
      <c r="O762">
        <v>30</v>
      </c>
      <c r="P762" t="s">
        <v>32</v>
      </c>
      <c r="Q762">
        <v>289068</v>
      </c>
      <c r="R762" t="s">
        <v>26</v>
      </c>
      <c r="S762" t="s">
        <v>27</v>
      </c>
      <c r="T762" t="s">
        <v>28</v>
      </c>
    </row>
    <row r="763" spans="1:20" x14ac:dyDescent="0.3">
      <c r="A763" t="s">
        <v>1090</v>
      </c>
      <c r="B763" s="1">
        <v>45965</v>
      </c>
      <c r="C763" s="1" t="s">
        <v>1331</v>
      </c>
      <c r="D763" t="s">
        <v>839</v>
      </c>
      <c r="E763" t="s">
        <v>48</v>
      </c>
      <c r="F763" t="s">
        <v>64</v>
      </c>
      <c r="G763" t="s">
        <v>23</v>
      </c>
      <c r="H763" t="s">
        <v>56</v>
      </c>
      <c r="I763">
        <v>176044</v>
      </c>
      <c r="J763">
        <v>0</v>
      </c>
      <c r="K763">
        <v>0</v>
      </c>
      <c r="L763">
        <v>0</v>
      </c>
      <c r="M763">
        <v>0</v>
      </c>
      <c r="N763">
        <v>471</v>
      </c>
      <c r="O763">
        <v>49</v>
      </c>
      <c r="P763" t="s">
        <v>32</v>
      </c>
      <c r="Q763">
        <v>1534588</v>
      </c>
      <c r="R763" t="s">
        <v>49</v>
      </c>
      <c r="S763" t="s">
        <v>27</v>
      </c>
      <c r="T763" t="s">
        <v>34</v>
      </c>
    </row>
    <row r="764" spans="1:20" x14ac:dyDescent="0.3">
      <c r="A764" t="s">
        <v>1091</v>
      </c>
      <c r="B764" s="1">
        <v>45887</v>
      </c>
      <c r="C764" s="1" t="s">
        <v>1328</v>
      </c>
      <c r="D764" t="s">
        <v>620</v>
      </c>
      <c r="E764" t="s">
        <v>48</v>
      </c>
      <c r="F764" t="s">
        <v>22</v>
      </c>
      <c r="G764" t="s">
        <v>39</v>
      </c>
      <c r="H764" t="s">
        <v>56</v>
      </c>
      <c r="I764">
        <v>44329</v>
      </c>
      <c r="J764">
        <v>0</v>
      </c>
      <c r="K764">
        <v>0</v>
      </c>
      <c r="L764">
        <v>0</v>
      </c>
      <c r="M764">
        <v>0</v>
      </c>
      <c r="N764">
        <v>727</v>
      </c>
      <c r="O764">
        <v>20</v>
      </c>
      <c r="P764" t="s">
        <v>32</v>
      </c>
      <c r="Q764">
        <v>1168938</v>
      </c>
      <c r="R764" t="s">
        <v>49</v>
      </c>
      <c r="S764" t="s">
        <v>27</v>
      </c>
      <c r="T764" t="s">
        <v>34</v>
      </c>
    </row>
    <row r="765" spans="1:20" x14ac:dyDescent="0.3">
      <c r="A765" t="s">
        <v>1092</v>
      </c>
      <c r="B765" s="1">
        <v>45986</v>
      </c>
      <c r="C765" s="1" t="s">
        <v>1331</v>
      </c>
      <c r="D765" t="s">
        <v>564</v>
      </c>
      <c r="E765" t="s">
        <v>63</v>
      </c>
      <c r="F765" t="s">
        <v>38</v>
      </c>
      <c r="G765" t="s">
        <v>23</v>
      </c>
      <c r="H765" t="s">
        <v>31</v>
      </c>
      <c r="I765">
        <v>0</v>
      </c>
      <c r="J765">
        <v>0</v>
      </c>
      <c r="K765">
        <v>98276</v>
      </c>
      <c r="L765">
        <v>0</v>
      </c>
      <c r="M765">
        <v>0</v>
      </c>
      <c r="N765">
        <v>545</v>
      </c>
      <c r="O765">
        <v>70</v>
      </c>
      <c r="P765" t="s">
        <v>32</v>
      </c>
      <c r="Q765">
        <v>2967458</v>
      </c>
      <c r="R765" t="s">
        <v>49</v>
      </c>
      <c r="S765" t="s">
        <v>65</v>
      </c>
      <c r="T765" t="s">
        <v>41</v>
      </c>
    </row>
    <row r="766" spans="1:20" x14ac:dyDescent="0.3">
      <c r="A766" t="s">
        <v>1093</v>
      </c>
      <c r="B766" s="1">
        <v>45977</v>
      </c>
      <c r="C766" s="1" t="s">
        <v>1331</v>
      </c>
      <c r="D766" t="s">
        <v>167</v>
      </c>
      <c r="E766" t="s">
        <v>21</v>
      </c>
      <c r="F766" t="s">
        <v>22</v>
      </c>
      <c r="G766" t="s">
        <v>39</v>
      </c>
      <c r="H766" t="s">
        <v>24</v>
      </c>
      <c r="I766">
        <v>0</v>
      </c>
      <c r="J766">
        <v>0</v>
      </c>
      <c r="K766">
        <v>0</v>
      </c>
      <c r="L766">
        <v>0</v>
      </c>
      <c r="M766">
        <v>9735.56</v>
      </c>
      <c r="N766">
        <v>658</v>
      </c>
      <c r="O766">
        <v>20</v>
      </c>
      <c r="P766" t="s">
        <v>32</v>
      </c>
      <c r="Q766">
        <v>2977494</v>
      </c>
      <c r="R766" t="s">
        <v>49</v>
      </c>
      <c r="S766" t="s">
        <v>27</v>
      </c>
      <c r="T766" t="s">
        <v>34</v>
      </c>
    </row>
    <row r="767" spans="1:20" x14ac:dyDescent="0.3">
      <c r="A767" t="s">
        <v>1094</v>
      </c>
      <c r="B767" s="1">
        <v>45675</v>
      </c>
      <c r="C767" s="1" t="s">
        <v>1321</v>
      </c>
      <c r="D767" t="s">
        <v>87</v>
      </c>
      <c r="E767" t="s">
        <v>55</v>
      </c>
      <c r="F767" t="s">
        <v>38</v>
      </c>
      <c r="G767" t="s">
        <v>59</v>
      </c>
      <c r="H767" t="s">
        <v>52</v>
      </c>
      <c r="I767">
        <v>0</v>
      </c>
      <c r="J767">
        <v>0</v>
      </c>
      <c r="K767">
        <v>0</v>
      </c>
      <c r="L767">
        <v>15966</v>
      </c>
      <c r="M767">
        <v>0</v>
      </c>
      <c r="N767">
        <v>396</v>
      </c>
      <c r="O767">
        <v>38</v>
      </c>
      <c r="P767" t="s">
        <v>25</v>
      </c>
      <c r="Q767">
        <v>422293</v>
      </c>
      <c r="R767" t="s">
        <v>26</v>
      </c>
      <c r="S767" t="s">
        <v>71</v>
      </c>
      <c r="T767" t="s">
        <v>28</v>
      </c>
    </row>
    <row r="768" spans="1:20" x14ac:dyDescent="0.3">
      <c r="A768" t="s">
        <v>1095</v>
      </c>
      <c r="B768" s="1">
        <v>45820</v>
      </c>
      <c r="C768" s="1" t="s">
        <v>1326</v>
      </c>
      <c r="D768" t="s">
        <v>110</v>
      </c>
      <c r="E768" t="s">
        <v>63</v>
      </c>
      <c r="F768" t="s">
        <v>44</v>
      </c>
      <c r="G768" t="s">
        <v>68</v>
      </c>
      <c r="H768" t="s">
        <v>40</v>
      </c>
      <c r="I768">
        <v>0</v>
      </c>
      <c r="J768">
        <v>85432</v>
      </c>
      <c r="K768">
        <v>0</v>
      </c>
      <c r="L768">
        <v>0</v>
      </c>
      <c r="M768">
        <v>0</v>
      </c>
      <c r="N768">
        <v>566</v>
      </c>
      <c r="O768">
        <v>38</v>
      </c>
      <c r="P768" t="s">
        <v>25</v>
      </c>
      <c r="Q768">
        <v>407302</v>
      </c>
      <c r="R768" t="s">
        <v>49</v>
      </c>
      <c r="S768" t="s">
        <v>27</v>
      </c>
      <c r="T768" t="s">
        <v>28</v>
      </c>
    </row>
    <row r="769" spans="1:20" x14ac:dyDescent="0.3">
      <c r="A769" t="s">
        <v>1096</v>
      </c>
      <c r="B769" s="1">
        <v>45757</v>
      </c>
      <c r="C769" s="1" t="s">
        <v>1324</v>
      </c>
      <c r="D769" t="s">
        <v>274</v>
      </c>
      <c r="E769" t="s">
        <v>37</v>
      </c>
      <c r="F769" t="s">
        <v>44</v>
      </c>
      <c r="G769" t="s">
        <v>59</v>
      </c>
      <c r="H769" t="s">
        <v>52</v>
      </c>
      <c r="I769">
        <v>0</v>
      </c>
      <c r="J769">
        <v>0</v>
      </c>
      <c r="K769">
        <v>0</v>
      </c>
      <c r="L769">
        <v>32454</v>
      </c>
      <c r="M769">
        <v>0</v>
      </c>
      <c r="N769">
        <v>797</v>
      </c>
      <c r="O769">
        <v>39</v>
      </c>
      <c r="P769" t="s">
        <v>25</v>
      </c>
      <c r="Q769">
        <v>2772432</v>
      </c>
      <c r="R769" t="s">
        <v>26</v>
      </c>
      <c r="S769" t="s">
        <v>33</v>
      </c>
      <c r="T769" t="s">
        <v>34</v>
      </c>
    </row>
    <row r="770" spans="1:20" x14ac:dyDescent="0.3">
      <c r="A770" t="s">
        <v>1097</v>
      </c>
      <c r="B770" s="1">
        <v>45938</v>
      </c>
      <c r="C770" s="1" t="s">
        <v>1330</v>
      </c>
      <c r="D770" t="s">
        <v>643</v>
      </c>
      <c r="E770" t="s">
        <v>77</v>
      </c>
      <c r="F770" t="s">
        <v>21</v>
      </c>
      <c r="G770" t="s">
        <v>68</v>
      </c>
      <c r="H770" t="s">
        <v>40</v>
      </c>
      <c r="I770">
        <v>0</v>
      </c>
      <c r="J770">
        <v>18540</v>
      </c>
      <c r="K770">
        <v>0</v>
      </c>
      <c r="L770">
        <v>0</v>
      </c>
      <c r="M770">
        <v>0</v>
      </c>
      <c r="N770">
        <v>483</v>
      </c>
      <c r="O770">
        <v>34</v>
      </c>
      <c r="P770" t="s">
        <v>32</v>
      </c>
      <c r="Q770">
        <v>2076092</v>
      </c>
      <c r="R770" t="s">
        <v>26</v>
      </c>
      <c r="S770" t="s">
        <v>27</v>
      </c>
      <c r="T770" t="s">
        <v>28</v>
      </c>
    </row>
    <row r="771" spans="1:20" x14ac:dyDescent="0.3">
      <c r="A771" t="s">
        <v>1098</v>
      </c>
      <c r="B771" s="1">
        <v>45687</v>
      </c>
      <c r="C771" s="1" t="s">
        <v>1321</v>
      </c>
      <c r="D771" t="s">
        <v>297</v>
      </c>
      <c r="E771" t="s">
        <v>48</v>
      </c>
      <c r="F771" t="s">
        <v>44</v>
      </c>
      <c r="G771" t="s">
        <v>59</v>
      </c>
      <c r="H771" t="s">
        <v>24</v>
      </c>
      <c r="I771">
        <v>0</v>
      </c>
      <c r="J771">
        <v>0</v>
      </c>
      <c r="K771">
        <v>0</v>
      </c>
      <c r="L771">
        <v>0</v>
      </c>
      <c r="M771">
        <v>5686.58</v>
      </c>
      <c r="N771">
        <v>474</v>
      </c>
      <c r="O771">
        <v>55</v>
      </c>
      <c r="P771" t="s">
        <v>32</v>
      </c>
      <c r="Q771">
        <v>1404021</v>
      </c>
      <c r="R771" t="s">
        <v>49</v>
      </c>
      <c r="S771" t="s">
        <v>27</v>
      </c>
      <c r="T771" t="s">
        <v>45</v>
      </c>
    </row>
    <row r="772" spans="1:20" x14ac:dyDescent="0.3">
      <c r="A772" t="s">
        <v>1099</v>
      </c>
      <c r="B772" s="1">
        <v>45974</v>
      </c>
      <c r="C772" s="1" t="s">
        <v>1331</v>
      </c>
      <c r="D772" t="s">
        <v>286</v>
      </c>
      <c r="E772" t="s">
        <v>37</v>
      </c>
      <c r="F772" t="s">
        <v>21</v>
      </c>
      <c r="G772" t="s">
        <v>59</v>
      </c>
      <c r="H772" t="s">
        <v>52</v>
      </c>
      <c r="I772">
        <v>0</v>
      </c>
      <c r="J772">
        <v>0</v>
      </c>
      <c r="K772">
        <v>0</v>
      </c>
      <c r="L772">
        <v>19219</v>
      </c>
      <c r="M772">
        <v>0</v>
      </c>
      <c r="N772">
        <v>792</v>
      </c>
      <c r="O772">
        <v>24</v>
      </c>
      <c r="P772" t="s">
        <v>25</v>
      </c>
      <c r="Q772">
        <v>1363332</v>
      </c>
      <c r="R772" t="s">
        <v>49</v>
      </c>
      <c r="S772" t="s">
        <v>74</v>
      </c>
      <c r="T772" t="s">
        <v>41</v>
      </c>
    </row>
    <row r="773" spans="1:20" x14ac:dyDescent="0.3">
      <c r="A773" t="s">
        <v>1100</v>
      </c>
      <c r="B773" s="1">
        <v>45833</v>
      </c>
      <c r="C773" s="1" t="s">
        <v>1326</v>
      </c>
      <c r="D773" t="s">
        <v>518</v>
      </c>
      <c r="E773" t="s">
        <v>21</v>
      </c>
      <c r="F773" t="s">
        <v>22</v>
      </c>
      <c r="G773" t="s">
        <v>39</v>
      </c>
      <c r="H773" t="s">
        <v>24</v>
      </c>
      <c r="I773">
        <v>0</v>
      </c>
      <c r="J773">
        <v>0</v>
      </c>
      <c r="K773">
        <v>0</v>
      </c>
      <c r="L773">
        <v>0</v>
      </c>
      <c r="M773">
        <v>6117.76</v>
      </c>
      <c r="N773">
        <v>862</v>
      </c>
      <c r="O773">
        <v>66</v>
      </c>
      <c r="P773" t="s">
        <v>32</v>
      </c>
      <c r="Q773">
        <v>1402736</v>
      </c>
      <c r="R773" t="s">
        <v>49</v>
      </c>
      <c r="S773" t="s">
        <v>27</v>
      </c>
      <c r="T773" t="s">
        <v>28</v>
      </c>
    </row>
    <row r="774" spans="1:20" x14ac:dyDescent="0.3">
      <c r="A774" t="s">
        <v>1101</v>
      </c>
      <c r="B774" s="1">
        <v>45971</v>
      </c>
      <c r="C774" s="1" t="s">
        <v>1331</v>
      </c>
      <c r="D774" t="s">
        <v>270</v>
      </c>
      <c r="E774" t="s">
        <v>48</v>
      </c>
      <c r="F774" t="s">
        <v>38</v>
      </c>
      <c r="G774" t="s">
        <v>39</v>
      </c>
      <c r="H774" t="s">
        <v>56</v>
      </c>
      <c r="I774">
        <v>148168</v>
      </c>
      <c r="J774">
        <v>0</v>
      </c>
      <c r="K774">
        <v>0</v>
      </c>
      <c r="L774">
        <v>0</v>
      </c>
      <c r="M774">
        <v>0</v>
      </c>
      <c r="N774">
        <v>734</v>
      </c>
      <c r="O774">
        <v>24</v>
      </c>
      <c r="P774" t="s">
        <v>25</v>
      </c>
      <c r="Q774">
        <v>770577</v>
      </c>
      <c r="R774" t="s">
        <v>49</v>
      </c>
      <c r="S774" t="s">
        <v>27</v>
      </c>
      <c r="T774" t="s">
        <v>28</v>
      </c>
    </row>
    <row r="775" spans="1:20" x14ac:dyDescent="0.3">
      <c r="A775" t="s">
        <v>1102</v>
      </c>
      <c r="B775" s="1">
        <v>45859</v>
      </c>
      <c r="C775" s="1" t="s">
        <v>1327</v>
      </c>
      <c r="D775" t="s">
        <v>1046</v>
      </c>
      <c r="E775" t="s">
        <v>37</v>
      </c>
      <c r="F775" t="s">
        <v>22</v>
      </c>
      <c r="G775" t="s">
        <v>39</v>
      </c>
      <c r="H775" t="s">
        <v>56</v>
      </c>
      <c r="I775">
        <v>18091</v>
      </c>
      <c r="J775">
        <v>0</v>
      </c>
      <c r="K775">
        <v>0</v>
      </c>
      <c r="L775">
        <v>0</v>
      </c>
      <c r="M775">
        <v>0</v>
      </c>
      <c r="N775">
        <v>687</v>
      </c>
      <c r="O775">
        <v>62</v>
      </c>
      <c r="P775" t="s">
        <v>32</v>
      </c>
      <c r="Q775">
        <v>2533989</v>
      </c>
      <c r="R775" t="s">
        <v>49</v>
      </c>
      <c r="S775" t="s">
        <v>27</v>
      </c>
      <c r="T775" t="s">
        <v>45</v>
      </c>
    </row>
    <row r="776" spans="1:20" x14ac:dyDescent="0.3">
      <c r="A776" t="s">
        <v>1103</v>
      </c>
      <c r="B776" s="1">
        <v>45920</v>
      </c>
      <c r="C776" s="1" t="s">
        <v>1329</v>
      </c>
      <c r="D776" t="s">
        <v>202</v>
      </c>
      <c r="E776" t="s">
        <v>77</v>
      </c>
      <c r="F776" t="s">
        <v>44</v>
      </c>
      <c r="G776" t="s">
        <v>59</v>
      </c>
      <c r="H776" t="s">
        <v>31</v>
      </c>
      <c r="I776">
        <v>0</v>
      </c>
      <c r="J776">
        <v>0</v>
      </c>
      <c r="K776">
        <v>377859</v>
      </c>
      <c r="L776">
        <v>0</v>
      </c>
      <c r="M776">
        <v>0</v>
      </c>
      <c r="N776">
        <v>837</v>
      </c>
      <c r="O776">
        <v>70</v>
      </c>
      <c r="P776" t="s">
        <v>32</v>
      </c>
      <c r="Q776">
        <v>298407</v>
      </c>
      <c r="R776" t="s">
        <v>26</v>
      </c>
      <c r="S776" t="s">
        <v>33</v>
      </c>
      <c r="T776" t="s">
        <v>45</v>
      </c>
    </row>
    <row r="777" spans="1:20" x14ac:dyDescent="0.3">
      <c r="A777" t="s">
        <v>1104</v>
      </c>
      <c r="B777" s="1">
        <v>45692</v>
      </c>
      <c r="C777" s="1" t="s">
        <v>1322</v>
      </c>
      <c r="D777" t="s">
        <v>518</v>
      </c>
      <c r="E777" t="s">
        <v>37</v>
      </c>
      <c r="F777" t="s">
        <v>38</v>
      </c>
      <c r="G777" t="s">
        <v>23</v>
      </c>
      <c r="H777" t="s">
        <v>31</v>
      </c>
      <c r="I777">
        <v>0</v>
      </c>
      <c r="J777">
        <v>0</v>
      </c>
      <c r="K777">
        <v>1744569</v>
      </c>
      <c r="L777">
        <v>0</v>
      </c>
      <c r="M777">
        <v>0</v>
      </c>
      <c r="N777">
        <v>309</v>
      </c>
      <c r="O777">
        <v>61</v>
      </c>
      <c r="P777" t="s">
        <v>32</v>
      </c>
      <c r="Q777">
        <v>618798</v>
      </c>
      <c r="R777" t="s">
        <v>49</v>
      </c>
      <c r="S777" t="s">
        <v>65</v>
      </c>
      <c r="T777" t="s">
        <v>28</v>
      </c>
    </row>
    <row r="778" spans="1:20" x14ac:dyDescent="0.3">
      <c r="A778" t="s">
        <v>1105</v>
      </c>
      <c r="B778" s="1">
        <v>45695</v>
      </c>
      <c r="C778" s="1" t="s">
        <v>1322</v>
      </c>
      <c r="D778" t="s">
        <v>533</v>
      </c>
      <c r="E778" t="s">
        <v>55</v>
      </c>
      <c r="F778" t="s">
        <v>44</v>
      </c>
      <c r="G778" t="s">
        <v>39</v>
      </c>
      <c r="H778" t="s">
        <v>52</v>
      </c>
      <c r="I778">
        <v>0</v>
      </c>
      <c r="J778">
        <v>0</v>
      </c>
      <c r="K778">
        <v>0</v>
      </c>
      <c r="L778">
        <v>26261</v>
      </c>
      <c r="M778">
        <v>0</v>
      </c>
      <c r="N778">
        <v>485</v>
      </c>
      <c r="O778">
        <v>55</v>
      </c>
      <c r="P778" t="s">
        <v>25</v>
      </c>
      <c r="Q778">
        <v>525459</v>
      </c>
      <c r="R778" t="s">
        <v>26</v>
      </c>
      <c r="S778" t="s">
        <v>33</v>
      </c>
      <c r="T778" t="s">
        <v>34</v>
      </c>
    </row>
    <row r="779" spans="1:20" x14ac:dyDescent="0.3">
      <c r="A779" t="s">
        <v>1106</v>
      </c>
      <c r="B779" s="1">
        <v>45781</v>
      </c>
      <c r="C779" s="1" t="s">
        <v>1325</v>
      </c>
      <c r="D779" t="s">
        <v>67</v>
      </c>
      <c r="E779" t="s">
        <v>37</v>
      </c>
      <c r="F779" t="s">
        <v>22</v>
      </c>
      <c r="G779" t="s">
        <v>59</v>
      </c>
      <c r="H779" t="s">
        <v>31</v>
      </c>
      <c r="I779">
        <v>0</v>
      </c>
      <c r="J779">
        <v>0</v>
      </c>
      <c r="K779">
        <v>788064</v>
      </c>
      <c r="L779">
        <v>0</v>
      </c>
      <c r="M779">
        <v>0</v>
      </c>
      <c r="N779">
        <v>704</v>
      </c>
      <c r="O779">
        <v>26</v>
      </c>
      <c r="P779" t="s">
        <v>25</v>
      </c>
      <c r="Q779">
        <v>751279</v>
      </c>
      <c r="R779" t="s">
        <v>26</v>
      </c>
      <c r="S779" t="s">
        <v>33</v>
      </c>
      <c r="T779" t="s">
        <v>34</v>
      </c>
    </row>
    <row r="780" spans="1:20" x14ac:dyDescent="0.3">
      <c r="A780" t="s">
        <v>1107</v>
      </c>
      <c r="B780" s="1">
        <v>45920</v>
      </c>
      <c r="C780" s="1" t="s">
        <v>1329</v>
      </c>
      <c r="D780" t="s">
        <v>395</v>
      </c>
      <c r="E780" t="s">
        <v>21</v>
      </c>
      <c r="F780" t="s">
        <v>38</v>
      </c>
      <c r="G780" t="s">
        <v>59</v>
      </c>
      <c r="H780" t="s">
        <v>31</v>
      </c>
      <c r="I780">
        <v>0</v>
      </c>
      <c r="J780">
        <v>0</v>
      </c>
      <c r="K780">
        <v>1763476</v>
      </c>
      <c r="L780">
        <v>0</v>
      </c>
      <c r="M780">
        <v>0</v>
      </c>
      <c r="N780">
        <v>511</v>
      </c>
      <c r="O780">
        <v>43</v>
      </c>
      <c r="P780" t="s">
        <v>32</v>
      </c>
      <c r="Q780">
        <v>2695287</v>
      </c>
      <c r="R780" t="s">
        <v>26</v>
      </c>
      <c r="S780" t="s">
        <v>33</v>
      </c>
      <c r="T780" t="s">
        <v>45</v>
      </c>
    </row>
    <row r="781" spans="1:20" x14ac:dyDescent="0.3">
      <c r="A781" t="s">
        <v>1108</v>
      </c>
      <c r="B781" s="1">
        <v>45787</v>
      </c>
      <c r="C781" s="1" t="s">
        <v>1325</v>
      </c>
      <c r="D781" t="s">
        <v>266</v>
      </c>
      <c r="E781" t="s">
        <v>77</v>
      </c>
      <c r="F781" t="s">
        <v>44</v>
      </c>
      <c r="G781" t="s">
        <v>39</v>
      </c>
      <c r="H781" t="s">
        <v>40</v>
      </c>
      <c r="I781">
        <v>0</v>
      </c>
      <c r="J781">
        <v>6099</v>
      </c>
      <c r="K781">
        <v>0</v>
      </c>
      <c r="L781">
        <v>0</v>
      </c>
      <c r="M781">
        <v>0</v>
      </c>
      <c r="N781">
        <v>771</v>
      </c>
      <c r="O781">
        <v>53</v>
      </c>
      <c r="P781" t="s">
        <v>32</v>
      </c>
      <c r="Q781">
        <v>2617995</v>
      </c>
      <c r="R781" t="s">
        <v>49</v>
      </c>
      <c r="S781" t="s">
        <v>27</v>
      </c>
      <c r="T781" t="s">
        <v>28</v>
      </c>
    </row>
    <row r="782" spans="1:20" x14ac:dyDescent="0.3">
      <c r="A782" t="s">
        <v>1109</v>
      </c>
      <c r="B782" s="1">
        <v>45950</v>
      </c>
      <c r="C782" s="1" t="s">
        <v>1330</v>
      </c>
      <c r="D782" t="s">
        <v>270</v>
      </c>
      <c r="E782" t="s">
        <v>77</v>
      </c>
      <c r="F782" t="s">
        <v>64</v>
      </c>
      <c r="G782" t="s">
        <v>68</v>
      </c>
      <c r="H782" t="s">
        <v>56</v>
      </c>
      <c r="I782">
        <v>21945</v>
      </c>
      <c r="J782">
        <v>0</v>
      </c>
      <c r="K782">
        <v>0</v>
      </c>
      <c r="L782">
        <v>0</v>
      </c>
      <c r="M782">
        <v>0</v>
      </c>
      <c r="N782">
        <v>419</v>
      </c>
      <c r="O782">
        <v>67</v>
      </c>
      <c r="P782" t="s">
        <v>25</v>
      </c>
      <c r="Q782">
        <f>MEDIAN(201200,3000000)</f>
        <v>1600600</v>
      </c>
      <c r="R782" t="s">
        <v>49</v>
      </c>
      <c r="S782" t="s">
        <v>27</v>
      </c>
      <c r="T782" t="s">
        <v>45</v>
      </c>
    </row>
    <row r="783" spans="1:20" x14ac:dyDescent="0.3">
      <c r="A783" t="s">
        <v>1110</v>
      </c>
      <c r="B783" s="1">
        <v>45831</v>
      </c>
      <c r="C783" s="1" t="s">
        <v>1326</v>
      </c>
      <c r="D783" t="s">
        <v>378</v>
      </c>
      <c r="E783" t="s">
        <v>37</v>
      </c>
      <c r="F783" t="s">
        <v>38</v>
      </c>
      <c r="G783" t="s">
        <v>68</v>
      </c>
      <c r="H783" t="s">
        <v>31</v>
      </c>
      <c r="I783">
        <v>0</v>
      </c>
      <c r="J783">
        <v>0</v>
      </c>
      <c r="K783">
        <v>167764</v>
      </c>
      <c r="L783">
        <v>0</v>
      </c>
      <c r="M783">
        <v>0</v>
      </c>
      <c r="N783">
        <v>689</v>
      </c>
      <c r="O783">
        <v>26</v>
      </c>
      <c r="P783" t="s">
        <v>25</v>
      </c>
      <c r="Q783">
        <v>2635624</v>
      </c>
      <c r="R783" t="s">
        <v>26</v>
      </c>
      <c r="S783" t="s">
        <v>65</v>
      </c>
      <c r="T783" t="s">
        <v>28</v>
      </c>
    </row>
    <row r="784" spans="1:20" x14ac:dyDescent="0.3">
      <c r="A784" t="s">
        <v>1111</v>
      </c>
      <c r="B784" s="1">
        <v>45736</v>
      </c>
      <c r="C784" s="1" t="s">
        <v>1323</v>
      </c>
      <c r="D784" t="s">
        <v>588</v>
      </c>
      <c r="E784" t="s">
        <v>21</v>
      </c>
      <c r="F784" t="s">
        <v>38</v>
      </c>
      <c r="G784" t="s">
        <v>23</v>
      </c>
      <c r="H784" t="s">
        <v>31</v>
      </c>
      <c r="I784">
        <v>0</v>
      </c>
      <c r="J784">
        <v>0</v>
      </c>
      <c r="K784">
        <v>225679</v>
      </c>
      <c r="L784">
        <v>0</v>
      </c>
      <c r="M784">
        <v>0</v>
      </c>
      <c r="N784">
        <v>775</v>
      </c>
      <c r="O784">
        <v>65</v>
      </c>
      <c r="P784" t="s">
        <v>25</v>
      </c>
      <c r="Q784">
        <v>1145320</v>
      </c>
      <c r="R784" t="s">
        <v>49</v>
      </c>
      <c r="S784" t="s">
        <v>65</v>
      </c>
      <c r="T784" t="s">
        <v>41</v>
      </c>
    </row>
    <row r="785" spans="1:20" x14ac:dyDescent="0.3">
      <c r="A785" t="s">
        <v>1112</v>
      </c>
      <c r="B785" s="1">
        <v>45743</v>
      </c>
      <c r="C785" s="1" t="s">
        <v>1323</v>
      </c>
      <c r="D785" t="s">
        <v>1058</v>
      </c>
      <c r="E785" t="s">
        <v>55</v>
      </c>
      <c r="F785" t="s">
        <v>64</v>
      </c>
      <c r="G785" t="s">
        <v>39</v>
      </c>
      <c r="H785" t="s">
        <v>40</v>
      </c>
      <c r="I785">
        <v>0</v>
      </c>
      <c r="J785">
        <v>78861</v>
      </c>
      <c r="K785">
        <v>0</v>
      </c>
      <c r="L785">
        <v>0</v>
      </c>
      <c r="M785">
        <v>0</v>
      </c>
      <c r="N785">
        <v>457</v>
      </c>
      <c r="O785">
        <v>70</v>
      </c>
      <c r="P785" t="s">
        <v>25</v>
      </c>
      <c r="Q785">
        <v>1379876</v>
      </c>
      <c r="R785" t="s">
        <v>26</v>
      </c>
      <c r="S785" t="s">
        <v>27</v>
      </c>
      <c r="T785" t="s">
        <v>60</v>
      </c>
    </row>
    <row r="786" spans="1:20" x14ac:dyDescent="0.3">
      <c r="A786" t="s">
        <v>1113</v>
      </c>
      <c r="B786" s="1">
        <v>45768</v>
      </c>
      <c r="C786" s="1" t="s">
        <v>1324</v>
      </c>
      <c r="D786" t="s">
        <v>729</v>
      </c>
      <c r="E786" t="s">
        <v>55</v>
      </c>
      <c r="F786" t="s">
        <v>21</v>
      </c>
      <c r="G786" t="s">
        <v>59</v>
      </c>
      <c r="H786" t="s">
        <v>40</v>
      </c>
      <c r="I786">
        <v>0</v>
      </c>
      <c r="J786">
        <v>30959</v>
      </c>
      <c r="K786">
        <v>0</v>
      </c>
      <c r="L786">
        <v>0</v>
      </c>
      <c r="M786">
        <v>0</v>
      </c>
      <c r="N786">
        <v>698</v>
      </c>
      <c r="O786">
        <v>31</v>
      </c>
      <c r="P786" t="s">
        <v>32</v>
      </c>
      <c r="Q786">
        <v>2220245</v>
      </c>
      <c r="R786" t="s">
        <v>26</v>
      </c>
      <c r="S786" t="s">
        <v>27</v>
      </c>
      <c r="T786" t="s">
        <v>41</v>
      </c>
    </row>
    <row r="787" spans="1:20" x14ac:dyDescent="0.3">
      <c r="A787" t="s">
        <v>1114</v>
      </c>
      <c r="B787" s="1">
        <v>45721</v>
      </c>
      <c r="C787" s="1" t="s">
        <v>1323</v>
      </c>
      <c r="D787" t="s">
        <v>209</v>
      </c>
      <c r="E787" t="s">
        <v>63</v>
      </c>
      <c r="F787" t="s">
        <v>64</v>
      </c>
      <c r="G787" t="s">
        <v>68</v>
      </c>
      <c r="H787" t="s">
        <v>40</v>
      </c>
      <c r="I787">
        <v>0</v>
      </c>
      <c r="J787">
        <v>86198</v>
      </c>
      <c r="K787">
        <v>0</v>
      </c>
      <c r="L787">
        <v>0</v>
      </c>
      <c r="M787">
        <v>0</v>
      </c>
      <c r="N787">
        <v>306</v>
      </c>
      <c r="O787">
        <v>51</v>
      </c>
      <c r="P787" t="s">
        <v>32</v>
      </c>
      <c r="Q787">
        <v>2698505</v>
      </c>
      <c r="R787" t="s">
        <v>26</v>
      </c>
      <c r="S787" t="s">
        <v>27</v>
      </c>
      <c r="T787" t="s">
        <v>45</v>
      </c>
    </row>
    <row r="788" spans="1:20" x14ac:dyDescent="0.3">
      <c r="A788" t="s">
        <v>1115</v>
      </c>
      <c r="B788" s="1">
        <v>45932</v>
      </c>
      <c r="C788" s="1" t="s">
        <v>1330</v>
      </c>
      <c r="D788" t="s">
        <v>403</v>
      </c>
      <c r="E788" t="s">
        <v>21</v>
      </c>
      <c r="F788" t="s">
        <v>44</v>
      </c>
      <c r="G788" t="s">
        <v>68</v>
      </c>
      <c r="H788" t="s">
        <v>40</v>
      </c>
      <c r="I788">
        <v>0</v>
      </c>
      <c r="J788">
        <v>1461</v>
      </c>
      <c r="K788">
        <v>0</v>
      </c>
      <c r="L788">
        <v>0</v>
      </c>
      <c r="M788">
        <v>0</v>
      </c>
      <c r="N788">
        <v>548</v>
      </c>
      <c r="O788">
        <v>22</v>
      </c>
      <c r="P788" t="s">
        <v>25</v>
      </c>
      <c r="Q788">
        <v>1955591</v>
      </c>
      <c r="R788" t="s">
        <v>26</v>
      </c>
      <c r="S788" t="s">
        <v>27</v>
      </c>
      <c r="T788" t="s">
        <v>60</v>
      </c>
    </row>
    <row r="789" spans="1:20" x14ac:dyDescent="0.3">
      <c r="A789" t="s">
        <v>1116</v>
      </c>
      <c r="B789" s="1">
        <v>45828</v>
      </c>
      <c r="C789" s="1" t="s">
        <v>1326</v>
      </c>
      <c r="D789" t="s">
        <v>114</v>
      </c>
      <c r="E789" t="s">
        <v>37</v>
      </c>
      <c r="F789" t="s">
        <v>38</v>
      </c>
      <c r="G789" t="s">
        <v>23</v>
      </c>
      <c r="H789" t="s">
        <v>24</v>
      </c>
      <c r="I789">
        <v>0</v>
      </c>
      <c r="J789">
        <v>0</v>
      </c>
      <c r="K789">
        <v>0</v>
      </c>
      <c r="L789">
        <v>0</v>
      </c>
      <c r="M789">
        <v>9307.86</v>
      </c>
      <c r="N789">
        <v>510</v>
      </c>
      <c r="O789">
        <v>52</v>
      </c>
      <c r="P789" t="s">
        <v>25</v>
      </c>
      <c r="Q789">
        <v>710102</v>
      </c>
      <c r="R789" t="s">
        <v>49</v>
      </c>
      <c r="S789" t="s">
        <v>27</v>
      </c>
      <c r="T789" t="s">
        <v>41</v>
      </c>
    </row>
    <row r="790" spans="1:20" x14ac:dyDescent="0.3">
      <c r="A790" t="s">
        <v>1117</v>
      </c>
      <c r="B790" s="1">
        <v>45871</v>
      </c>
      <c r="C790" s="1" t="s">
        <v>1328</v>
      </c>
      <c r="D790" t="s">
        <v>695</v>
      </c>
      <c r="E790" t="s">
        <v>63</v>
      </c>
      <c r="F790" t="s">
        <v>22</v>
      </c>
      <c r="G790" t="s">
        <v>59</v>
      </c>
      <c r="H790" t="s">
        <v>56</v>
      </c>
      <c r="I790">
        <v>80509</v>
      </c>
      <c r="J790">
        <v>0</v>
      </c>
      <c r="K790">
        <v>0</v>
      </c>
      <c r="L790">
        <v>0</v>
      </c>
      <c r="M790">
        <v>0</v>
      </c>
      <c r="N790">
        <v>342</v>
      </c>
      <c r="O790">
        <v>42</v>
      </c>
      <c r="P790" t="s">
        <v>32</v>
      </c>
      <c r="Q790">
        <v>1561146</v>
      </c>
      <c r="R790" t="s">
        <v>26</v>
      </c>
      <c r="S790" t="s">
        <v>27</v>
      </c>
      <c r="T790" t="s">
        <v>41</v>
      </c>
    </row>
    <row r="791" spans="1:20" x14ac:dyDescent="0.3">
      <c r="A791" t="s">
        <v>1118</v>
      </c>
      <c r="B791" s="1">
        <v>45903</v>
      </c>
      <c r="C791" s="1" t="s">
        <v>1329</v>
      </c>
      <c r="D791" t="s">
        <v>568</v>
      </c>
      <c r="E791" t="s">
        <v>37</v>
      </c>
      <c r="F791" t="s">
        <v>64</v>
      </c>
      <c r="G791" t="s">
        <v>59</v>
      </c>
      <c r="H791" t="s">
        <v>31</v>
      </c>
      <c r="I791">
        <v>0</v>
      </c>
      <c r="J791">
        <v>0</v>
      </c>
      <c r="K791">
        <v>120936</v>
      </c>
      <c r="L791">
        <v>0</v>
      </c>
      <c r="M791">
        <v>0</v>
      </c>
      <c r="N791">
        <v>632</v>
      </c>
      <c r="O791">
        <v>64</v>
      </c>
      <c r="P791" t="s">
        <v>32</v>
      </c>
      <c r="Q791">
        <v>383746</v>
      </c>
      <c r="R791" t="s">
        <v>49</v>
      </c>
      <c r="S791" t="s">
        <v>65</v>
      </c>
      <c r="T791" t="s">
        <v>34</v>
      </c>
    </row>
    <row r="792" spans="1:20" x14ac:dyDescent="0.3">
      <c r="A792" t="s">
        <v>1119</v>
      </c>
      <c r="B792" s="1">
        <v>45692</v>
      </c>
      <c r="C792" s="1" t="s">
        <v>1322</v>
      </c>
      <c r="D792" t="s">
        <v>409</v>
      </c>
      <c r="E792" t="s">
        <v>55</v>
      </c>
      <c r="F792" t="s">
        <v>64</v>
      </c>
      <c r="G792" t="s">
        <v>23</v>
      </c>
      <c r="H792" t="s">
        <v>31</v>
      </c>
      <c r="I792">
        <v>0</v>
      </c>
      <c r="J792">
        <v>0</v>
      </c>
      <c r="K792">
        <v>497709</v>
      </c>
      <c r="L792">
        <v>0</v>
      </c>
      <c r="M792">
        <v>0</v>
      </c>
      <c r="N792">
        <v>659</v>
      </c>
      <c r="O792">
        <v>31</v>
      </c>
      <c r="P792" t="s">
        <v>25</v>
      </c>
      <c r="Q792">
        <v>361622</v>
      </c>
      <c r="R792" t="s">
        <v>26</v>
      </c>
      <c r="S792" t="s">
        <v>65</v>
      </c>
      <c r="T792" t="s">
        <v>45</v>
      </c>
    </row>
    <row r="793" spans="1:20" x14ac:dyDescent="0.3">
      <c r="A793" t="s">
        <v>1120</v>
      </c>
      <c r="B793" s="1">
        <v>45715</v>
      </c>
      <c r="C793" s="1" t="s">
        <v>1322</v>
      </c>
      <c r="D793" t="s">
        <v>339</v>
      </c>
      <c r="E793" t="s">
        <v>37</v>
      </c>
      <c r="F793" t="s">
        <v>21</v>
      </c>
      <c r="G793" t="s">
        <v>23</v>
      </c>
      <c r="H793" t="s">
        <v>24</v>
      </c>
      <c r="I793">
        <v>0</v>
      </c>
      <c r="J793">
        <v>0</v>
      </c>
      <c r="K793">
        <v>0</v>
      </c>
      <c r="L793">
        <v>0</v>
      </c>
      <c r="M793">
        <v>1388.57</v>
      </c>
      <c r="N793">
        <v>322</v>
      </c>
      <c r="O793">
        <v>22</v>
      </c>
      <c r="P793" t="s">
        <v>32</v>
      </c>
      <c r="Q793">
        <v>1891667</v>
      </c>
      <c r="R793" t="s">
        <v>49</v>
      </c>
      <c r="S793" t="s">
        <v>27</v>
      </c>
      <c r="T793" t="s">
        <v>34</v>
      </c>
    </row>
    <row r="794" spans="1:20" x14ac:dyDescent="0.3">
      <c r="A794" t="s">
        <v>1121</v>
      </c>
      <c r="B794" s="1">
        <v>45802</v>
      </c>
      <c r="C794" s="1" t="s">
        <v>1325</v>
      </c>
      <c r="D794" t="s">
        <v>293</v>
      </c>
      <c r="E794" t="s">
        <v>37</v>
      </c>
      <c r="F794" t="s">
        <v>22</v>
      </c>
      <c r="G794" t="s">
        <v>39</v>
      </c>
      <c r="H794" t="s">
        <v>24</v>
      </c>
      <c r="I794">
        <v>0</v>
      </c>
      <c r="J794">
        <v>0</v>
      </c>
      <c r="K794">
        <v>0</v>
      </c>
      <c r="L794">
        <v>0</v>
      </c>
      <c r="M794">
        <v>4022.79</v>
      </c>
      <c r="N794">
        <v>356</v>
      </c>
      <c r="O794">
        <v>55</v>
      </c>
      <c r="P794" t="s">
        <v>32</v>
      </c>
      <c r="Q794">
        <v>2435202</v>
      </c>
      <c r="R794" t="s">
        <v>26</v>
      </c>
      <c r="S794" t="s">
        <v>27</v>
      </c>
      <c r="T794" t="s">
        <v>45</v>
      </c>
    </row>
    <row r="795" spans="1:20" x14ac:dyDescent="0.3">
      <c r="A795" t="s">
        <v>1122</v>
      </c>
      <c r="B795" s="1">
        <v>45964</v>
      </c>
      <c r="C795" s="1" t="s">
        <v>1331</v>
      </c>
      <c r="D795" t="s">
        <v>374</v>
      </c>
      <c r="E795" t="s">
        <v>63</v>
      </c>
      <c r="F795" t="s">
        <v>38</v>
      </c>
      <c r="G795" t="s">
        <v>68</v>
      </c>
      <c r="H795" t="s">
        <v>40</v>
      </c>
      <c r="I795">
        <v>0</v>
      </c>
      <c r="J795">
        <v>11849</v>
      </c>
      <c r="K795">
        <v>0</v>
      </c>
      <c r="L795">
        <v>0</v>
      </c>
      <c r="M795">
        <v>0</v>
      </c>
      <c r="N795">
        <v>444</v>
      </c>
      <c r="O795">
        <v>56</v>
      </c>
      <c r="P795" t="s">
        <v>25</v>
      </c>
      <c r="Q795">
        <v>1637329</v>
      </c>
      <c r="R795" t="s">
        <v>49</v>
      </c>
      <c r="S795" t="s">
        <v>27</v>
      </c>
      <c r="T795" t="s">
        <v>34</v>
      </c>
    </row>
    <row r="796" spans="1:20" x14ac:dyDescent="0.3">
      <c r="A796" t="s">
        <v>1123</v>
      </c>
      <c r="B796" s="1">
        <v>45774</v>
      </c>
      <c r="C796" s="1" t="s">
        <v>1324</v>
      </c>
      <c r="D796" t="s">
        <v>58</v>
      </c>
      <c r="E796" t="s">
        <v>55</v>
      </c>
      <c r="F796" t="s">
        <v>44</v>
      </c>
      <c r="G796" t="s">
        <v>23</v>
      </c>
      <c r="H796" t="s">
        <v>31</v>
      </c>
      <c r="I796">
        <v>0</v>
      </c>
      <c r="J796">
        <v>0</v>
      </c>
      <c r="K796">
        <v>904807</v>
      </c>
      <c r="L796">
        <v>0</v>
      </c>
      <c r="M796">
        <v>0</v>
      </c>
      <c r="N796">
        <v>325</v>
      </c>
      <c r="O796">
        <v>19</v>
      </c>
      <c r="P796" t="s">
        <v>25</v>
      </c>
      <c r="Q796">
        <v>349668</v>
      </c>
      <c r="R796" t="s">
        <v>26</v>
      </c>
      <c r="S796" t="s">
        <v>65</v>
      </c>
      <c r="T796" t="s">
        <v>34</v>
      </c>
    </row>
    <row r="797" spans="1:20" x14ac:dyDescent="0.3">
      <c r="A797" t="s">
        <v>1124</v>
      </c>
      <c r="B797" s="1">
        <v>46016</v>
      </c>
      <c r="C797" s="1" t="s">
        <v>1332</v>
      </c>
      <c r="D797" t="s">
        <v>104</v>
      </c>
      <c r="E797" t="s">
        <v>37</v>
      </c>
      <c r="F797" t="s">
        <v>21</v>
      </c>
      <c r="G797" t="s">
        <v>59</v>
      </c>
      <c r="H797" t="s">
        <v>31</v>
      </c>
      <c r="I797">
        <v>0</v>
      </c>
      <c r="J797">
        <v>0</v>
      </c>
      <c r="K797">
        <v>834926</v>
      </c>
      <c r="L797">
        <v>0</v>
      </c>
      <c r="M797">
        <v>0</v>
      </c>
      <c r="N797">
        <v>624</v>
      </c>
      <c r="O797">
        <v>64</v>
      </c>
      <c r="P797" t="s">
        <v>32</v>
      </c>
      <c r="Q797">
        <v>1435925</v>
      </c>
      <c r="R797" t="s">
        <v>26</v>
      </c>
      <c r="S797" t="s">
        <v>33</v>
      </c>
      <c r="T797" t="s">
        <v>60</v>
      </c>
    </row>
    <row r="798" spans="1:20" x14ac:dyDescent="0.3">
      <c r="A798" t="s">
        <v>1125</v>
      </c>
      <c r="B798" s="1">
        <v>45921</v>
      </c>
      <c r="C798" s="1" t="s">
        <v>1329</v>
      </c>
      <c r="D798" t="s">
        <v>342</v>
      </c>
      <c r="E798" t="s">
        <v>37</v>
      </c>
      <c r="F798" t="s">
        <v>22</v>
      </c>
      <c r="G798" t="s">
        <v>68</v>
      </c>
      <c r="H798" t="s">
        <v>31</v>
      </c>
      <c r="I798">
        <v>0</v>
      </c>
      <c r="J798">
        <v>0</v>
      </c>
      <c r="K798">
        <v>1608382</v>
      </c>
      <c r="L798">
        <v>0</v>
      </c>
      <c r="M798">
        <v>0</v>
      </c>
      <c r="N798">
        <v>403</v>
      </c>
      <c r="O798">
        <v>57</v>
      </c>
      <c r="P798" t="s">
        <v>25</v>
      </c>
      <c r="Q798">
        <v>301026</v>
      </c>
      <c r="R798" t="s">
        <v>49</v>
      </c>
      <c r="S798" t="s">
        <v>65</v>
      </c>
      <c r="T798" t="s">
        <v>60</v>
      </c>
    </row>
    <row r="799" spans="1:20" x14ac:dyDescent="0.3">
      <c r="A799" t="s">
        <v>1126</v>
      </c>
      <c r="B799" s="1">
        <v>45945</v>
      </c>
      <c r="C799" s="1" t="s">
        <v>1330</v>
      </c>
      <c r="D799" t="s">
        <v>76</v>
      </c>
      <c r="E799" t="s">
        <v>37</v>
      </c>
      <c r="F799" t="s">
        <v>64</v>
      </c>
      <c r="G799" t="s">
        <v>39</v>
      </c>
      <c r="H799" t="s">
        <v>56</v>
      </c>
      <c r="I799">
        <v>133555</v>
      </c>
      <c r="J799">
        <v>0</v>
      </c>
      <c r="K799">
        <v>0</v>
      </c>
      <c r="L799">
        <v>0</v>
      </c>
      <c r="M799">
        <v>0</v>
      </c>
      <c r="N799">
        <v>854</v>
      </c>
      <c r="O799">
        <v>70</v>
      </c>
      <c r="P799" t="s">
        <v>32</v>
      </c>
      <c r="Q799">
        <v>540768</v>
      </c>
      <c r="R799" t="s">
        <v>26</v>
      </c>
      <c r="S799" t="s">
        <v>27</v>
      </c>
      <c r="T799" t="s">
        <v>34</v>
      </c>
    </row>
    <row r="800" spans="1:20" x14ac:dyDescent="0.3">
      <c r="A800" t="s">
        <v>1127</v>
      </c>
      <c r="B800" s="1">
        <v>45868</v>
      </c>
      <c r="C800" s="1" t="s">
        <v>1327</v>
      </c>
      <c r="D800" t="s">
        <v>98</v>
      </c>
      <c r="E800" t="s">
        <v>55</v>
      </c>
      <c r="F800" t="s">
        <v>22</v>
      </c>
      <c r="G800" t="s">
        <v>59</v>
      </c>
      <c r="H800" t="s">
        <v>56</v>
      </c>
      <c r="I800">
        <v>102881</v>
      </c>
      <c r="J800">
        <v>0</v>
      </c>
      <c r="K800">
        <v>0</v>
      </c>
      <c r="L800">
        <v>0</v>
      </c>
      <c r="M800">
        <v>0</v>
      </c>
      <c r="N800">
        <v>420</v>
      </c>
      <c r="O800">
        <v>63</v>
      </c>
      <c r="P800" t="s">
        <v>32</v>
      </c>
      <c r="Q800">
        <v>1325101</v>
      </c>
      <c r="R800" t="s">
        <v>26</v>
      </c>
      <c r="S800" t="s">
        <v>27</v>
      </c>
      <c r="T800" t="s">
        <v>41</v>
      </c>
    </row>
    <row r="801" spans="1:20" x14ac:dyDescent="0.3">
      <c r="A801" t="s">
        <v>1128</v>
      </c>
      <c r="B801" s="1">
        <v>45888</v>
      </c>
      <c r="C801" s="1" t="s">
        <v>1328</v>
      </c>
      <c r="D801" t="s">
        <v>82</v>
      </c>
      <c r="E801" t="s">
        <v>37</v>
      </c>
      <c r="F801" t="s">
        <v>38</v>
      </c>
      <c r="G801" t="s">
        <v>39</v>
      </c>
      <c r="H801" t="s">
        <v>52</v>
      </c>
      <c r="I801">
        <v>0</v>
      </c>
      <c r="J801">
        <v>0</v>
      </c>
      <c r="K801">
        <v>0</v>
      </c>
      <c r="L801">
        <v>42448</v>
      </c>
      <c r="M801">
        <v>0</v>
      </c>
      <c r="N801">
        <v>775</v>
      </c>
      <c r="O801">
        <v>56</v>
      </c>
      <c r="P801" t="s">
        <v>32</v>
      </c>
      <c r="Q801">
        <v>1292405</v>
      </c>
      <c r="R801" t="s">
        <v>26</v>
      </c>
      <c r="S801" t="s">
        <v>74</v>
      </c>
      <c r="T801" t="s">
        <v>60</v>
      </c>
    </row>
    <row r="802" spans="1:20" x14ac:dyDescent="0.3">
      <c r="A802" t="s">
        <v>1129</v>
      </c>
      <c r="B802" s="1">
        <v>45851</v>
      </c>
      <c r="C802" s="1" t="s">
        <v>1327</v>
      </c>
      <c r="D802" t="s">
        <v>303</v>
      </c>
      <c r="E802" t="s">
        <v>77</v>
      </c>
      <c r="F802" t="s">
        <v>21</v>
      </c>
      <c r="G802" t="s">
        <v>39</v>
      </c>
      <c r="H802" t="s">
        <v>52</v>
      </c>
      <c r="I802">
        <v>0</v>
      </c>
      <c r="J802">
        <v>0</v>
      </c>
      <c r="K802">
        <v>0</v>
      </c>
      <c r="L802">
        <v>10498</v>
      </c>
      <c r="M802">
        <v>0</v>
      </c>
      <c r="N802">
        <v>781</v>
      </c>
      <c r="O802">
        <v>53</v>
      </c>
      <c r="P802" t="s">
        <v>25</v>
      </c>
      <c r="Q802">
        <v>1418255</v>
      </c>
      <c r="R802" t="s">
        <v>26</v>
      </c>
      <c r="S802" t="s">
        <v>71</v>
      </c>
      <c r="T802" t="s">
        <v>60</v>
      </c>
    </row>
    <row r="803" spans="1:20" x14ac:dyDescent="0.3">
      <c r="A803" t="s">
        <v>1130</v>
      </c>
      <c r="B803" s="1">
        <v>45979</v>
      </c>
      <c r="C803" s="1" t="s">
        <v>1331</v>
      </c>
      <c r="D803" t="s">
        <v>409</v>
      </c>
      <c r="E803" t="s">
        <v>48</v>
      </c>
      <c r="F803" t="s">
        <v>38</v>
      </c>
      <c r="G803" t="s">
        <v>59</v>
      </c>
      <c r="H803" t="s">
        <v>24</v>
      </c>
      <c r="I803">
        <v>0</v>
      </c>
      <c r="J803">
        <v>0</v>
      </c>
      <c r="K803">
        <v>0</v>
      </c>
      <c r="L803">
        <v>0</v>
      </c>
      <c r="M803">
        <v>7985.02</v>
      </c>
      <c r="N803">
        <v>547</v>
      </c>
      <c r="O803">
        <v>19</v>
      </c>
      <c r="P803" t="s">
        <v>32</v>
      </c>
      <c r="Q803">
        <v>1252083</v>
      </c>
      <c r="R803" t="s">
        <v>49</v>
      </c>
      <c r="S803" t="s">
        <v>27</v>
      </c>
      <c r="T803" t="s">
        <v>45</v>
      </c>
    </row>
    <row r="804" spans="1:20" x14ac:dyDescent="0.3">
      <c r="A804" t="s">
        <v>1131</v>
      </c>
      <c r="B804" s="1">
        <v>45664</v>
      </c>
      <c r="C804" s="1" t="s">
        <v>1321</v>
      </c>
      <c r="D804" t="s">
        <v>217</v>
      </c>
      <c r="E804" t="s">
        <v>37</v>
      </c>
      <c r="F804" t="s">
        <v>44</v>
      </c>
      <c r="G804" t="s">
        <v>23</v>
      </c>
      <c r="H804" t="s">
        <v>56</v>
      </c>
      <c r="I804">
        <v>61202</v>
      </c>
      <c r="J804">
        <v>0</v>
      </c>
      <c r="K804">
        <v>0</v>
      </c>
      <c r="L804">
        <v>0</v>
      </c>
      <c r="M804">
        <v>0</v>
      </c>
      <c r="N804">
        <v>587</v>
      </c>
      <c r="O804">
        <v>59</v>
      </c>
      <c r="P804" t="s">
        <v>25</v>
      </c>
      <c r="Q804">
        <v>2913837</v>
      </c>
      <c r="R804" t="s">
        <v>26</v>
      </c>
      <c r="S804" t="s">
        <v>27</v>
      </c>
      <c r="T804" t="s">
        <v>45</v>
      </c>
    </row>
    <row r="805" spans="1:20" x14ac:dyDescent="0.3">
      <c r="A805" t="s">
        <v>1132</v>
      </c>
      <c r="B805" s="1">
        <v>45920</v>
      </c>
      <c r="C805" s="1" t="s">
        <v>1329</v>
      </c>
      <c r="D805" t="s">
        <v>792</v>
      </c>
      <c r="E805" t="s">
        <v>37</v>
      </c>
      <c r="F805" t="s">
        <v>38</v>
      </c>
      <c r="G805" t="s">
        <v>59</v>
      </c>
      <c r="H805" t="s">
        <v>40</v>
      </c>
      <c r="I805">
        <v>0</v>
      </c>
      <c r="J805">
        <v>96461</v>
      </c>
      <c r="K805">
        <v>0</v>
      </c>
      <c r="L805">
        <v>0</v>
      </c>
      <c r="M805">
        <v>0</v>
      </c>
      <c r="N805">
        <v>875</v>
      </c>
      <c r="O805">
        <v>49</v>
      </c>
      <c r="P805" t="s">
        <v>32</v>
      </c>
      <c r="Q805">
        <v>2220333</v>
      </c>
      <c r="R805" t="s">
        <v>26</v>
      </c>
      <c r="S805" t="s">
        <v>27</v>
      </c>
      <c r="T805" t="s">
        <v>28</v>
      </c>
    </row>
    <row r="806" spans="1:20" x14ac:dyDescent="0.3">
      <c r="A806" t="s">
        <v>1133</v>
      </c>
      <c r="B806" s="1">
        <v>45666</v>
      </c>
      <c r="C806" s="1" t="s">
        <v>1321</v>
      </c>
      <c r="D806" t="s">
        <v>51</v>
      </c>
      <c r="E806" t="s">
        <v>55</v>
      </c>
      <c r="F806" t="s">
        <v>21</v>
      </c>
      <c r="G806" t="s">
        <v>39</v>
      </c>
      <c r="H806" t="s">
        <v>24</v>
      </c>
      <c r="I806">
        <v>0</v>
      </c>
      <c r="J806">
        <v>0</v>
      </c>
      <c r="K806">
        <v>0</v>
      </c>
      <c r="L806">
        <v>0</v>
      </c>
      <c r="M806">
        <v>387.43</v>
      </c>
      <c r="N806">
        <v>766</v>
      </c>
      <c r="O806">
        <v>26</v>
      </c>
      <c r="P806" t="s">
        <v>32</v>
      </c>
      <c r="Q806">
        <v>1153723</v>
      </c>
      <c r="R806" t="s">
        <v>49</v>
      </c>
      <c r="S806" t="s">
        <v>27</v>
      </c>
      <c r="T806" t="s">
        <v>45</v>
      </c>
    </row>
    <row r="807" spans="1:20" x14ac:dyDescent="0.3">
      <c r="A807" t="s">
        <v>1134</v>
      </c>
      <c r="B807" s="1">
        <v>45976</v>
      </c>
      <c r="C807" s="1" t="s">
        <v>1331</v>
      </c>
      <c r="D807" t="s">
        <v>718</v>
      </c>
      <c r="E807" t="s">
        <v>77</v>
      </c>
      <c r="F807" t="s">
        <v>22</v>
      </c>
      <c r="G807" t="s">
        <v>23</v>
      </c>
      <c r="H807" t="s">
        <v>52</v>
      </c>
      <c r="I807">
        <v>0</v>
      </c>
      <c r="J807">
        <v>0</v>
      </c>
      <c r="K807">
        <v>0</v>
      </c>
      <c r="L807">
        <v>17348</v>
      </c>
      <c r="M807">
        <v>0</v>
      </c>
      <c r="N807">
        <v>386</v>
      </c>
      <c r="O807">
        <v>61</v>
      </c>
      <c r="P807" t="s">
        <v>25</v>
      </c>
      <c r="Q807">
        <v>1506452</v>
      </c>
      <c r="R807" t="s">
        <v>26</v>
      </c>
      <c r="S807" t="s">
        <v>71</v>
      </c>
      <c r="T807" t="s">
        <v>34</v>
      </c>
    </row>
    <row r="808" spans="1:20" x14ac:dyDescent="0.3">
      <c r="A808" t="s">
        <v>1135</v>
      </c>
      <c r="B808" s="1">
        <v>45907</v>
      </c>
      <c r="C808" s="1" t="s">
        <v>1329</v>
      </c>
      <c r="D808" t="s">
        <v>256</v>
      </c>
      <c r="E808" t="s">
        <v>21</v>
      </c>
      <c r="F808" t="s">
        <v>22</v>
      </c>
      <c r="G808" t="s">
        <v>39</v>
      </c>
      <c r="H808" t="s">
        <v>31</v>
      </c>
      <c r="I808">
        <v>0</v>
      </c>
      <c r="J808">
        <v>0</v>
      </c>
      <c r="K808">
        <v>239060</v>
      </c>
      <c r="L808">
        <v>0</v>
      </c>
      <c r="M808">
        <v>0</v>
      </c>
      <c r="N808">
        <v>749</v>
      </c>
      <c r="O808">
        <v>22</v>
      </c>
      <c r="P808" t="s">
        <v>32</v>
      </c>
      <c r="Q808">
        <v>1705683</v>
      </c>
      <c r="R808" t="s">
        <v>26</v>
      </c>
      <c r="S808" t="s">
        <v>65</v>
      </c>
      <c r="T808" t="s">
        <v>28</v>
      </c>
    </row>
    <row r="809" spans="1:20" x14ac:dyDescent="0.3">
      <c r="A809" t="s">
        <v>1136</v>
      </c>
      <c r="B809" s="1">
        <v>45845</v>
      </c>
      <c r="C809" s="1" t="s">
        <v>1327</v>
      </c>
      <c r="D809" t="s">
        <v>217</v>
      </c>
      <c r="E809" t="s">
        <v>63</v>
      </c>
      <c r="F809" t="s">
        <v>44</v>
      </c>
      <c r="G809" t="s">
        <v>59</v>
      </c>
      <c r="H809" t="s">
        <v>56</v>
      </c>
      <c r="I809">
        <v>44375</v>
      </c>
      <c r="J809">
        <v>0</v>
      </c>
      <c r="K809">
        <v>0</v>
      </c>
      <c r="L809">
        <v>0</v>
      </c>
      <c r="M809">
        <v>0</v>
      </c>
      <c r="N809">
        <v>517</v>
      </c>
      <c r="O809">
        <v>44</v>
      </c>
      <c r="P809" t="s">
        <v>32</v>
      </c>
      <c r="Q809">
        <v>1972414</v>
      </c>
      <c r="R809" t="s">
        <v>49</v>
      </c>
      <c r="S809" t="s">
        <v>27</v>
      </c>
      <c r="T809" t="s">
        <v>41</v>
      </c>
    </row>
    <row r="810" spans="1:20" x14ac:dyDescent="0.3">
      <c r="A810" t="s">
        <v>1137</v>
      </c>
      <c r="B810" s="1">
        <v>45812</v>
      </c>
      <c r="C810" s="1" t="s">
        <v>1326</v>
      </c>
      <c r="D810" t="s">
        <v>808</v>
      </c>
      <c r="E810" t="s">
        <v>55</v>
      </c>
      <c r="F810" t="s">
        <v>44</v>
      </c>
      <c r="G810" t="s">
        <v>59</v>
      </c>
      <c r="H810" t="s">
        <v>56</v>
      </c>
      <c r="I810">
        <v>188718</v>
      </c>
      <c r="J810">
        <v>0</v>
      </c>
      <c r="K810">
        <v>0</v>
      </c>
      <c r="L810">
        <v>0</v>
      </c>
      <c r="M810">
        <v>0</v>
      </c>
      <c r="N810">
        <v>622</v>
      </c>
      <c r="O810">
        <v>61</v>
      </c>
      <c r="P810" t="s">
        <v>25</v>
      </c>
      <c r="Q810">
        <v>1972533</v>
      </c>
      <c r="R810" t="s">
        <v>26</v>
      </c>
      <c r="S810" t="s">
        <v>27</v>
      </c>
      <c r="T810" t="s">
        <v>41</v>
      </c>
    </row>
    <row r="811" spans="1:20" x14ac:dyDescent="0.3">
      <c r="A811" t="s">
        <v>1138</v>
      </c>
      <c r="B811" s="1">
        <v>45768</v>
      </c>
      <c r="C811" s="1" t="s">
        <v>1324</v>
      </c>
      <c r="D811" t="s">
        <v>846</v>
      </c>
      <c r="E811" t="s">
        <v>77</v>
      </c>
      <c r="F811" t="s">
        <v>44</v>
      </c>
      <c r="G811" t="s">
        <v>39</v>
      </c>
      <c r="H811" t="s">
        <v>52</v>
      </c>
      <c r="I811">
        <v>0</v>
      </c>
      <c r="J811">
        <v>0</v>
      </c>
      <c r="K811">
        <v>0</v>
      </c>
      <c r="L811">
        <v>24389</v>
      </c>
      <c r="M811">
        <v>0</v>
      </c>
      <c r="N811">
        <v>807</v>
      </c>
      <c r="O811">
        <v>32</v>
      </c>
      <c r="P811" t="s">
        <v>25</v>
      </c>
      <c r="Q811">
        <v>2366722</v>
      </c>
      <c r="R811" t="s">
        <v>49</v>
      </c>
      <c r="S811" t="s">
        <v>33</v>
      </c>
      <c r="T811" t="s">
        <v>28</v>
      </c>
    </row>
    <row r="812" spans="1:20" x14ac:dyDescent="0.3">
      <c r="A812" t="s">
        <v>1139</v>
      </c>
      <c r="B812" s="1">
        <v>45840</v>
      </c>
      <c r="C812" s="1" t="s">
        <v>1327</v>
      </c>
      <c r="D812" t="s">
        <v>486</v>
      </c>
      <c r="E812" t="s">
        <v>63</v>
      </c>
      <c r="F812" t="s">
        <v>21</v>
      </c>
      <c r="G812" t="s">
        <v>39</v>
      </c>
      <c r="H812" t="s">
        <v>40</v>
      </c>
      <c r="I812">
        <v>0</v>
      </c>
      <c r="J812">
        <v>73000</v>
      </c>
      <c r="K812">
        <v>0</v>
      </c>
      <c r="L812">
        <v>0</v>
      </c>
      <c r="M812">
        <v>0</v>
      </c>
      <c r="N812">
        <v>622</v>
      </c>
      <c r="O812">
        <v>36</v>
      </c>
      <c r="P812" t="s">
        <v>32</v>
      </c>
      <c r="Q812">
        <v>487903</v>
      </c>
      <c r="R812" t="s">
        <v>49</v>
      </c>
      <c r="S812" t="s">
        <v>27</v>
      </c>
      <c r="T812" t="s">
        <v>28</v>
      </c>
    </row>
    <row r="813" spans="1:20" x14ac:dyDescent="0.3">
      <c r="A813" t="s">
        <v>1140</v>
      </c>
      <c r="B813" s="1">
        <v>45702</v>
      </c>
      <c r="C813" s="1" t="s">
        <v>1322</v>
      </c>
      <c r="D813" t="s">
        <v>233</v>
      </c>
      <c r="E813" t="s">
        <v>55</v>
      </c>
      <c r="F813" t="s">
        <v>64</v>
      </c>
      <c r="G813" t="s">
        <v>23</v>
      </c>
      <c r="H813" t="s">
        <v>31</v>
      </c>
      <c r="I813">
        <v>0</v>
      </c>
      <c r="J813">
        <v>0</v>
      </c>
      <c r="K813">
        <v>1303949</v>
      </c>
      <c r="L813">
        <v>0</v>
      </c>
      <c r="M813">
        <v>0</v>
      </c>
      <c r="N813">
        <v>588</v>
      </c>
      <c r="O813">
        <v>65</v>
      </c>
      <c r="P813" t="s">
        <v>25</v>
      </c>
      <c r="Q813">
        <v>637774</v>
      </c>
      <c r="R813" t="s">
        <v>49</v>
      </c>
      <c r="S813" t="s">
        <v>33</v>
      </c>
      <c r="T813" t="s">
        <v>60</v>
      </c>
    </row>
    <row r="814" spans="1:20" x14ac:dyDescent="0.3">
      <c r="A814" t="s">
        <v>1141</v>
      </c>
      <c r="B814" s="1">
        <v>45737</v>
      </c>
      <c r="C814" s="1" t="s">
        <v>1323</v>
      </c>
      <c r="D814" t="s">
        <v>558</v>
      </c>
      <c r="E814" t="s">
        <v>55</v>
      </c>
      <c r="F814" t="s">
        <v>21</v>
      </c>
      <c r="G814" t="s">
        <v>68</v>
      </c>
      <c r="H814" t="s">
        <v>31</v>
      </c>
      <c r="I814">
        <v>0</v>
      </c>
      <c r="J814">
        <v>0</v>
      </c>
      <c r="K814">
        <v>1849418</v>
      </c>
      <c r="L814">
        <v>0</v>
      </c>
      <c r="M814">
        <v>0</v>
      </c>
      <c r="N814">
        <v>695</v>
      </c>
      <c r="O814">
        <v>47</v>
      </c>
      <c r="P814" t="s">
        <v>25</v>
      </c>
      <c r="Q814">
        <v>2548958</v>
      </c>
      <c r="R814" t="s">
        <v>26</v>
      </c>
      <c r="S814" t="s">
        <v>33</v>
      </c>
      <c r="T814" t="s">
        <v>60</v>
      </c>
    </row>
    <row r="815" spans="1:20" x14ac:dyDescent="0.3">
      <c r="A815" t="s">
        <v>1142</v>
      </c>
      <c r="B815" s="1">
        <v>45970</v>
      </c>
      <c r="C815" s="1" t="s">
        <v>1331</v>
      </c>
      <c r="D815" t="s">
        <v>945</v>
      </c>
      <c r="E815" t="s">
        <v>21</v>
      </c>
      <c r="F815" t="s">
        <v>21</v>
      </c>
      <c r="G815" t="s">
        <v>68</v>
      </c>
      <c r="H815" t="s">
        <v>56</v>
      </c>
      <c r="I815">
        <v>90614</v>
      </c>
      <c r="J815">
        <v>0</v>
      </c>
      <c r="K815">
        <v>0</v>
      </c>
      <c r="L815">
        <v>0</v>
      </c>
      <c r="M815">
        <v>0</v>
      </c>
      <c r="N815">
        <v>608</v>
      </c>
      <c r="O815">
        <v>49</v>
      </c>
      <c r="P815" t="s">
        <v>25</v>
      </c>
      <c r="Q815">
        <v>1230665</v>
      </c>
      <c r="R815" t="s">
        <v>49</v>
      </c>
      <c r="S815" t="s">
        <v>27</v>
      </c>
      <c r="T815" t="s">
        <v>60</v>
      </c>
    </row>
    <row r="816" spans="1:20" x14ac:dyDescent="0.3">
      <c r="A816" t="s">
        <v>1143</v>
      </c>
      <c r="B816" s="1">
        <v>45873</v>
      </c>
      <c r="C816" s="1" t="s">
        <v>1328</v>
      </c>
      <c r="D816" t="s">
        <v>47</v>
      </c>
      <c r="E816" t="s">
        <v>55</v>
      </c>
      <c r="F816" t="s">
        <v>44</v>
      </c>
      <c r="G816" t="s">
        <v>39</v>
      </c>
      <c r="H816" t="s">
        <v>56</v>
      </c>
      <c r="I816">
        <v>173759</v>
      </c>
      <c r="J816">
        <v>0</v>
      </c>
      <c r="K816">
        <v>0</v>
      </c>
      <c r="L816">
        <v>0</v>
      </c>
      <c r="M816">
        <v>0</v>
      </c>
      <c r="N816">
        <v>527</v>
      </c>
      <c r="O816">
        <v>54</v>
      </c>
      <c r="P816" t="s">
        <v>32</v>
      </c>
      <c r="Q816">
        <v>270677</v>
      </c>
      <c r="R816" t="s">
        <v>26</v>
      </c>
      <c r="S816" t="s">
        <v>27</v>
      </c>
      <c r="T816" t="s">
        <v>41</v>
      </c>
    </row>
    <row r="817" spans="1:20" x14ac:dyDescent="0.3">
      <c r="A817" t="s">
        <v>1144</v>
      </c>
      <c r="B817" s="1">
        <v>45934</v>
      </c>
      <c r="C817" s="1" t="s">
        <v>1330</v>
      </c>
      <c r="D817" t="s">
        <v>179</v>
      </c>
      <c r="E817" t="s">
        <v>63</v>
      </c>
      <c r="F817" t="s">
        <v>64</v>
      </c>
      <c r="G817" t="s">
        <v>59</v>
      </c>
      <c r="H817" t="s">
        <v>24</v>
      </c>
      <c r="I817">
        <v>0</v>
      </c>
      <c r="J817">
        <v>0</v>
      </c>
      <c r="K817">
        <v>0</v>
      </c>
      <c r="L817">
        <v>0</v>
      </c>
      <c r="M817">
        <v>3952.58</v>
      </c>
      <c r="N817">
        <v>605</v>
      </c>
      <c r="O817">
        <v>39</v>
      </c>
      <c r="P817" t="s">
        <v>32</v>
      </c>
      <c r="Q817">
        <v>2292484</v>
      </c>
      <c r="R817" t="s">
        <v>26</v>
      </c>
      <c r="S817" t="s">
        <v>27</v>
      </c>
      <c r="T817" t="s">
        <v>45</v>
      </c>
    </row>
    <row r="818" spans="1:20" x14ac:dyDescent="0.3">
      <c r="A818" t="s">
        <v>1145</v>
      </c>
      <c r="B818" s="1">
        <v>45738</v>
      </c>
      <c r="C818" s="1" t="s">
        <v>1323</v>
      </c>
      <c r="D818" t="s">
        <v>409</v>
      </c>
      <c r="E818" t="s">
        <v>77</v>
      </c>
      <c r="F818" t="s">
        <v>22</v>
      </c>
      <c r="G818" t="s">
        <v>23</v>
      </c>
      <c r="H818" t="s">
        <v>31</v>
      </c>
      <c r="I818">
        <v>0</v>
      </c>
      <c r="J818">
        <v>0</v>
      </c>
      <c r="K818">
        <v>1794482</v>
      </c>
      <c r="L818">
        <v>0</v>
      </c>
      <c r="M818">
        <v>0</v>
      </c>
      <c r="N818">
        <v>757</v>
      </c>
      <c r="O818">
        <v>35</v>
      </c>
      <c r="P818" t="s">
        <v>25</v>
      </c>
      <c r="Q818">
        <v>658203</v>
      </c>
      <c r="R818" t="s">
        <v>49</v>
      </c>
      <c r="S818" t="s">
        <v>33</v>
      </c>
      <c r="T818" t="s">
        <v>45</v>
      </c>
    </row>
    <row r="819" spans="1:20" x14ac:dyDescent="0.3">
      <c r="A819" t="s">
        <v>1146</v>
      </c>
      <c r="B819" s="1">
        <v>45755</v>
      </c>
      <c r="C819" s="1" t="s">
        <v>1324</v>
      </c>
      <c r="D819" t="s">
        <v>299</v>
      </c>
      <c r="E819" t="s">
        <v>48</v>
      </c>
      <c r="F819" t="s">
        <v>44</v>
      </c>
      <c r="G819" t="s">
        <v>23</v>
      </c>
      <c r="H819" t="s">
        <v>40</v>
      </c>
      <c r="I819">
        <v>0</v>
      </c>
      <c r="J819">
        <v>49744</v>
      </c>
      <c r="K819">
        <v>0</v>
      </c>
      <c r="L819">
        <v>0</v>
      </c>
      <c r="M819">
        <v>0</v>
      </c>
      <c r="N819">
        <v>426</v>
      </c>
      <c r="O819">
        <v>19</v>
      </c>
      <c r="P819" t="s">
        <v>32</v>
      </c>
      <c r="Q819">
        <v>2254999</v>
      </c>
      <c r="R819" t="s">
        <v>49</v>
      </c>
      <c r="S819" t="s">
        <v>27</v>
      </c>
      <c r="T819" t="s">
        <v>34</v>
      </c>
    </row>
    <row r="820" spans="1:20" x14ac:dyDescent="0.3">
      <c r="A820" t="s">
        <v>1147</v>
      </c>
      <c r="B820" s="1">
        <v>45855</v>
      </c>
      <c r="C820" s="1" t="s">
        <v>1327</v>
      </c>
      <c r="D820" t="s">
        <v>354</v>
      </c>
      <c r="E820" t="s">
        <v>21</v>
      </c>
      <c r="F820" t="s">
        <v>21</v>
      </c>
      <c r="G820" t="s">
        <v>39</v>
      </c>
      <c r="H820" t="s">
        <v>52</v>
      </c>
      <c r="I820">
        <v>0</v>
      </c>
      <c r="J820">
        <v>0</v>
      </c>
      <c r="K820">
        <v>0</v>
      </c>
      <c r="L820">
        <v>28174</v>
      </c>
      <c r="M820">
        <v>0</v>
      </c>
      <c r="N820">
        <v>537</v>
      </c>
      <c r="O820">
        <v>36</v>
      </c>
      <c r="P820" t="s">
        <v>32</v>
      </c>
      <c r="Q820">
        <v>453221</v>
      </c>
      <c r="R820" t="s">
        <v>49</v>
      </c>
      <c r="S820" t="s">
        <v>71</v>
      </c>
      <c r="T820" t="s">
        <v>60</v>
      </c>
    </row>
    <row r="821" spans="1:20" x14ac:dyDescent="0.3">
      <c r="A821" t="s">
        <v>1148</v>
      </c>
      <c r="B821" s="1">
        <v>45676</v>
      </c>
      <c r="C821" s="1" t="s">
        <v>1321</v>
      </c>
      <c r="D821" t="s">
        <v>438</v>
      </c>
      <c r="E821" t="s">
        <v>55</v>
      </c>
      <c r="F821" t="s">
        <v>64</v>
      </c>
      <c r="G821" t="s">
        <v>39</v>
      </c>
      <c r="H821" t="s">
        <v>40</v>
      </c>
      <c r="I821">
        <v>0</v>
      </c>
      <c r="J821">
        <v>12285</v>
      </c>
      <c r="K821">
        <v>0</v>
      </c>
      <c r="L821">
        <v>0</v>
      </c>
      <c r="M821">
        <v>0</v>
      </c>
      <c r="N821">
        <v>393</v>
      </c>
      <c r="O821">
        <v>68</v>
      </c>
      <c r="P821" t="s">
        <v>32</v>
      </c>
      <c r="Q821">
        <v>710887</v>
      </c>
      <c r="R821" t="s">
        <v>26</v>
      </c>
      <c r="S821" t="s">
        <v>27</v>
      </c>
      <c r="T821" t="s">
        <v>28</v>
      </c>
    </row>
    <row r="822" spans="1:20" x14ac:dyDescent="0.3">
      <c r="A822" t="s">
        <v>1149</v>
      </c>
      <c r="B822" s="1">
        <v>45728</v>
      </c>
      <c r="C822" s="1" t="s">
        <v>1323</v>
      </c>
      <c r="D822" t="s">
        <v>622</v>
      </c>
      <c r="E822" t="s">
        <v>77</v>
      </c>
      <c r="F822" t="s">
        <v>22</v>
      </c>
      <c r="G822" t="s">
        <v>39</v>
      </c>
      <c r="H822" t="s">
        <v>40</v>
      </c>
      <c r="I822">
        <v>0</v>
      </c>
      <c r="J822">
        <v>11076</v>
      </c>
      <c r="K822">
        <v>0</v>
      </c>
      <c r="L822">
        <v>0</v>
      </c>
      <c r="M822">
        <v>0</v>
      </c>
      <c r="N822">
        <v>421</v>
      </c>
      <c r="O822">
        <v>34</v>
      </c>
      <c r="P822" t="s">
        <v>25</v>
      </c>
      <c r="Q822">
        <v>1654154</v>
      </c>
      <c r="R822" t="s">
        <v>26</v>
      </c>
      <c r="S822" t="s">
        <v>27</v>
      </c>
      <c r="T822" t="s">
        <v>60</v>
      </c>
    </row>
    <row r="823" spans="1:20" x14ac:dyDescent="0.3">
      <c r="A823" t="s">
        <v>1150</v>
      </c>
      <c r="B823" s="1">
        <v>45778</v>
      </c>
      <c r="C823" s="1" t="s">
        <v>1325</v>
      </c>
      <c r="D823" t="s">
        <v>89</v>
      </c>
      <c r="E823" t="s">
        <v>48</v>
      </c>
      <c r="F823" t="s">
        <v>64</v>
      </c>
      <c r="G823" t="s">
        <v>59</v>
      </c>
      <c r="H823" t="s">
        <v>56</v>
      </c>
      <c r="I823">
        <v>90607</v>
      </c>
      <c r="J823">
        <v>0</v>
      </c>
      <c r="K823">
        <v>0</v>
      </c>
      <c r="L823">
        <v>0</v>
      </c>
      <c r="M823">
        <v>0</v>
      </c>
      <c r="N823">
        <v>519</v>
      </c>
      <c r="O823">
        <v>27</v>
      </c>
      <c r="P823" t="s">
        <v>25</v>
      </c>
      <c r="Q823">
        <v>1928703</v>
      </c>
      <c r="R823" t="s">
        <v>26</v>
      </c>
      <c r="S823" t="s">
        <v>27</v>
      </c>
      <c r="T823" t="s">
        <v>45</v>
      </c>
    </row>
    <row r="824" spans="1:20" x14ac:dyDescent="0.3">
      <c r="A824" t="s">
        <v>1151</v>
      </c>
      <c r="B824" s="1">
        <v>45815</v>
      </c>
      <c r="C824" s="1" t="s">
        <v>1326</v>
      </c>
      <c r="D824" t="s">
        <v>1046</v>
      </c>
      <c r="E824" t="s">
        <v>77</v>
      </c>
      <c r="F824" t="s">
        <v>22</v>
      </c>
      <c r="G824" t="s">
        <v>59</v>
      </c>
      <c r="H824" t="s">
        <v>40</v>
      </c>
      <c r="I824">
        <v>0</v>
      </c>
      <c r="J824">
        <v>72639</v>
      </c>
      <c r="K824">
        <v>0</v>
      </c>
      <c r="L824">
        <v>0</v>
      </c>
      <c r="M824">
        <v>0</v>
      </c>
      <c r="N824">
        <v>600</v>
      </c>
      <c r="O824">
        <v>62</v>
      </c>
      <c r="P824" t="s">
        <v>25</v>
      </c>
      <c r="Q824">
        <v>1645833</v>
      </c>
      <c r="R824" t="s">
        <v>49</v>
      </c>
      <c r="S824" t="s">
        <v>27</v>
      </c>
      <c r="T824" t="s">
        <v>60</v>
      </c>
    </row>
    <row r="825" spans="1:20" x14ac:dyDescent="0.3">
      <c r="A825" t="s">
        <v>1152</v>
      </c>
      <c r="B825" s="1">
        <v>45881</v>
      </c>
      <c r="C825" s="1" t="s">
        <v>1328</v>
      </c>
      <c r="D825" t="s">
        <v>308</v>
      </c>
      <c r="E825" t="s">
        <v>37</v>
      </c>
      <c r="F825" t="s">
        <v>38</v>
      </c>
      <c r="G825" t="s">
        <v>23</v>
      </c>
      <c r="H825" t="s">
        <v>56</v>
      </c>
      <c r="I825">
        <v>121056</v>
      </c>
      <c r="J825">
        <v>0</v>
      </c>
      <c r="K825">
        <v>0</v>
      </c>
      <c r="L825">
        <v>0</v>
      </c>
      <c r="M825">
        <v>0</v>
      </c>
      <c r="N825">
        <v>838</v>
      </c>
      <c r="O825">
        <v>24</v>
      </c>
      <c r="P825" t="s">
        <v>25</v>
      </c>
      <c r="Q825">
        <v>2261499</v>
      </c>
      <c r="R825" t="s">
        <v>49</v>
      </c>
      <c r="S825" t="s">
        <v>27</v>
      </c>
      <c r="T825" t="s">
        <v>41</v>
      </c>
    </row>
    <row r="826" spans="1:20" x14ac:dyDescent="0.3">
      <c r="A826" t="s">
        <v>1153</v>
      </c>
      <c r="B826" s="1">
        <v>46018</v>
      </c>
      <c r="C826" s="1" t="s">
        <v>1332</v>
      </c>
      <c r="D826" t="s">
        <v>171</v>
      </c>
      <c r="E826" t="s">
        <v>63</v>
      </c>
      <c r="F826" t="s">
        <v>22</v>
      </c>
      <c r="G826" t="s">
        <v>59</v>
      </c>
      <c r="H826" t="s">
        <v>40</v>
      </c>
      <c r="I826">
        <v>0</v>
      </c>
      <c r="J826">
        <v>62234</v>
      </c>
      <c r="K826">
        <v>0</v>
      </c>
      <c r="L826">
        <v>0</v>
      </c>
      <c r="M826">
        <v>0</v>
      </c>
      <c r="N826">
        <v>342</v>
      </c>
      <c r="O826">
        <v>62</v>
      </c>
      <c r="P826" t="s">
        <v>32</v>
      </c>
      <c r="Q826">
        <v>2281981</v>
      </c>
      <c r="R826" t="s">
        <v>49</v>
      </c>
      <c r="S826" t="s">
        <v>27</v>
      </c>
      <c r="T826" t="s">
        <v>28</v>
      </c>
    </row>
    <row r="827" spans="1:20" x14ac:dyDescent="0.3">
      <c r="A827" t="s">
        <v>1154</v>
      </c>
      <c r="B827" s="1">
        <v>45696</v>
      </c>
      <c r="C827" s="1" t="s">
        <v>1322</v>
      </c>
      <c r="D827" t="s">
        <v>315</v>
      </c>
      <c r="E827" t="s">
        <v>63</v>
      </c>
      <c r="F827" t="s">
        <v>64</v>
      </c>
      <c r="G827" t="s">
        <v>23</v>
      </c>
      <c r="H827" t="s">
        <v>56</v>
      </c>
      <c r="I827">
        <v>10195</v>
      </c>
      <c r="J827">
        <v>0</v>
      </c>
      <c r="K827">
        <v>0</v>
      </c>
      <c r="L827">
        <v>0</v>
      </c>
      <c r="M827">
        <v>0</v>
      </c>
      <c r="N827">
        <v>401</v>
      </c>
      <c r="O827">
        <v>58</v>
      </c>
      <c r="P827" t="s">
        <v>25</v>
      </c>
      <c r="Q827">
        <v>2223859</v>
      </c>
      <c r="R827" t="s">
        <v>26</v>
      </c>
      <c r="S827" t="s">
        <v>27</v>
      </c>
      <c r="T827" t="s">
        <v>34</v>
      </c>
    </row>
    <row r="828" spans="1:20" x14ac:dyDescent="0.3">
      <c r="A828" t="s">
        <v>1155</v>
      </c>
      <c r="B828" s="1">
        <v>45684</v>
      </c>
      <c r="C828" s="1" t="s">
        <v>1321</v>
      </c>
      <c r="D828" t="s">
        <v>291</v>
      </c>
      <c r="E828" t="s">
        <v>77</v>
      </c>
      <c r="F828" t="s">
        <v>21</v>
      </c>
      <c r="G828" t="s">
        <v>68</v>
      </c>
      <c r="H828" t="s">
        <v>56</v>
      </c>
      <c r="I828">
        <v>160531</v>
      </c>
      <c r="J828">
        <v>0</v>
      </c>
      <c r="K828">
        <v>0</v>
      </c>
      <c r="L828">
        <v>0</v>
      </c>
      <c r="M828">
        <v>0</v>
      </c>
      <c r="N828">
        <v>571</v>
      </c>
      <c r="O828">
        <v>53</v>
      </c>
      <c r="P828" t="s">
        <v>25</v>
      </c>
      <c r="Q828">
        <v>2353104</v>
      </c>
      <c r="R828" t="s">
        <v>26</v>
      </c>
      <c r="S828" t="s">
        <v>27</v>
      </c>
      <c r="T828" t="s">
        <v>45</v>
      </c>
    </row>
    <row r="829" spans="1:20" x14ac:dyDescent="0.3">
      <c r="A829" t="s">
        <v>1156</v>
      </c>
      <c r="B829" s="1">
        <v>45720</v>
      </c>
      <c r="C829" s="1" t="s">
        <v>1323</v>
      </c>
      <c r="D829" t="s">
        <v>191</v>
      </c>
      <c r="E829" t="s">
        <v>77</v>
      </c>
      <c r="F829" t="s">
        <v>22</v>
      </c>
      <c r="G829" t="s">
        <v>68</v>
      </c>
      <c r="H829" t="s">
        <v>24</v>
      </c>
      <c r="I829">
        <v>0</v>
      </c>
      <c r="J829">
        <v>0</v>
      </c>
      <c r="K829">
        <v>0</v>
      </c>
      <c r="L829">
        <v>0</v>
      </c>
      <c r="M829">
        <v>3692.2</v>
      </c>
      <c r="N829">
        <v>682</v>
      </c>
      <c r="O829">
        <v>39</v>
      </c>
      <c r="P829" t="s">
        <v>25</v>
      </c>
      <c r="Q829">
        <v>2350826</v>
      </c>
      <c r="R829" t="s">
        <v>49</v>
      </c>
      <c r="S829" t="s">
        <v>27</v>
      </c>
      <c r="T829" t="s">
        <v>45</v>
      </c>
    </row>
    <row r="830" spans="1:20" x14ac:dyDescent="0.3">
      <c r="A830" t="s">
        <v>1157</v>
      </c>
      <c r="B830" s="1">
        <v>46018</v>
      </c>
      <c r="C830" s="1" t="s">
        <v>1332</v>
      </c>
      <c r="D830" t="s">
        <v>426</v>
      </c>
      <c r="E830" t="s">
        <v>37</v>
      </c>
      <c r="F830" t="s">
        <v>22</v>
      </c>
      <c r="G830" t="s">
        <v>39</v>
      </c>
      <c r="H830" t="s">
        <v>52</v>
      </c>
      <c r="I830">
        <v>0</v>
      </c>
      <c r="J830">
        <v>0</v>
      </c>
      <c r="K830">
        <v>0</v>
      </c>
      <c r="L830">
        <v>6651</v>
      </c>
      <c r="M830">
        <v>0</v>
      </c>
      <c r="N830">
        <v>507</v>
      </c>
      <c r="O830">
        <v>19</v>
      </c>
      <c r="P830" t="s">
        <v>25</v>
      </c>
      <c r="Q830">
        <v>1200695</v>
      </c>
      <c r="R830" t="s">
        <v>49</v>
      </c>
      <c r="S830" t="s">
        <v>33</v>
      </c>
      <c r="T830" t="s">
        <v>45</v>
      </c>
    </row>
    <row r="831" spans="1:20" x14ac:dyDescent="0.3">
      <c r="A831" t="s">
        <v>1158</v>
      </c>
      <c r="B831" s="1">
        <v>45821</v>
      </c>
      <c r="C831" s="1" t="s">
        <v>1326</v>
      </c>
      <c r="D831" t="s">
        <v>553</v>
      </c>
      <c r="E831" t="s">
        <v>63</v>
      </c>
      <c r="F831" t="s">
        <v>64</v>
      </c>
      <c r="G831" t="s">
        <v>59</v>
      </c>
      <c r="H831" t="s">
        <v>56</v>
      </c>
      <c r="I831">
        <v>73065</v>
      </c>
      <c r="J831">
        <v>0</v>
      </c>
      <c r="K831">
        <v>0</v>
      </c>
      <c r="L831">
        <v>0</v>
      </c>
      <c r="M831">
        <v>0</v>
      </c>
      <c r="N831">
        <v>802</v>
      </c>
      <c r="O831">
        <v>28</v>
      </c>
      <c r="P831" t="s">
        <v>25</v>
      </c>
      <c r="Q831">
        <v>2052745</v>
      </c>
      <c r="R831" t="s">
        <v>26</v>
      </c>
      <c r="S831" t="s">
        <v>27</v>
      </c>
      <c r="T831" t="s">
        <v>34</v>
      </c>
    </row>
    <row r="832" spans="1:20" x14ac:dyDescent="0.3">
      <c r="A832" t="s">
        <v>1159</v>
      </c>
      <c r="B832" s="1">
        <v>45998</v>
      </c>
      <c r="C832" s="1" t="s">
        <v>1332</v>
      </c>
      <c r="D832" t="s">
        <v>818</v>
      </c>
      <c r="E832" t="s">
        <v>55</v>
      </c>
      <c r="F832" t="s">
        <v>22</v>
      </c>
      <c r="G832" t="s">
        <v>39</v>
      </c>
      <c r="H832" t="s">
        <v>52</v>
      </c>
      <c r="I832">
        <v>0</v>
      </c>
      <c r="J832">
        <v>0</v>
      </c>
      <c r="K832">
        <v>0</v>
      </c>
      <c r="L832">
        <v>4516</v>
      </c>
      <c r="M832">
        <v>0</v>
      </c>
      <c r="N832">
        <v>693</v>
      </c>
      <c r="O832">
        <v>34</v>
      </c>
      <c r="P832" t="s">
        <v>25</v>
      </c>
      <c r="Q832">
        <v>2468187</v>
      </c>
      <c r="R832" t="s">
        <v>49</v>
      </c>
      <c r="S832" t="s">
        <v>71</v>
      </c>
      <c r="T832" t="s">
        <v>45</v>
      </c>
    </row>
    <row r="833" spans="1:20" x14ac:dyDescent="0.3">
      <c r="A833" t="s">
        <v>1160</v>
      </c>
      <c r="B833" s="1">
        <v>45912</v>
      </c>
      <c r="C833" s="1" t="s">
        <v>1329</v>
      </c>
      <c r="D833" t="s">
        <v>339</v>
      </c>
      <c r="E833" t="s">
        <v>55</v>
      </c>
      <c r="F833" t="s">
        <v>44</v>
      </c>
      <c r="G833" t="s">
        <v>68</v>
      </c>
      <c r="H833" t="s">
        <v>52</v>
      </c>
      <c r="I833">
        <v>0</v>
      </c>
      <c r="J833">
        <v>0</v>
      </c>
      <c r="K833">
        <v>0</v>
      </c>
      <c r="L833">
        <v>39331</v>
      </c>
      <c r="M833">
        <v>0</v>
      </c>
      <c r="N833">
        <v>859</v>
      </c>
      <c r="O833">
        <v>19</v>
      </c>
      <c r="P833" t="s">
        <v>25</v>
      </c>
      <c r="Q833">
        <v>876563</v>
      </c>
      <c r="R833" t="s">
        <v>26</v>
      </c>
      <c r="S833" t="s">
        <v>33</v>
      </c>
      <c r="T833" t="s">
        <v>41</v>
      </c>
    </row>
    <row r="834" spans="1:20" x14ac:dyDescent="0.3">
      <c r="A834" t="s">
        <v>1161</v>
      </c>
      <c r="B834" s="1">
        <v>45978</v>
      </c>
      <c r="C834" s="1" t="s">
        <v>1331</v>
      </c>
      <c r="D834" t="s">
        <v>360</v>
      </c>
      <c r="E834" t="s">
        <v>55</v>
      </c>
      <c r="F834" t="s">
        <v>64</v>
      </c>
      <c r="G834" t="s">
        <v>59</v>
      </c>
      <c r="H834" t="s">
        <v>40</v>
      </c>
      <c r="I834">
        <v>0</v>
      </c>
      <c r="J834">
        <v>81666</v>
      </c>
      <c r="K834">
        <v>0</v>
      </c>
      <c r="L834">
        <v>0</v>
      </c>
      <c r="M834">
        <v>0</v>
      </c>
      <c r="N834">
        <v>344</v>
      </c>
      <c r="O834">
        <v>69</v>
      </c>
      <c r="P834" t="s">
        <v>25</v>
      </c>
      <c r="Q834">
        <v>631800</v>
      </c>
      <c r="R834" t="s">
        <v>49</v>
      </c>
      <c r="S834" t="s">
        <v>27</v>
      </c>
      <c r="T834" t="s">
        <v>45</v>
      </c>
    </row>
    <row r="835" spans="1:20" x14ac:dyDescent="0.3">
      <c r="A835" t="s">
        <v>1162</v>
      </c>
      <c r="B835" s="1">
        <v>45927</v>
      </c>
      <c r="C835" s="1" t="s">
        <v>1329</v>
      </c>
      <c r="D835" t="s">
        <v>452</v>
      </c>
      <c r="E835" t="s">
        <v>55</v>
      </c>
      <c r="F835" t="s">
        <v>21</v>
      </c>
      <c r="G835" t="s">
        <v>23</v>
      </c>
      <c r="H835" t="s">
        <v>52</v>
      </c>
      <c r="I835">
        <v>0</v>
      </c>
      <c r="J835">
        <v>0</v>
      </c>
      <c r="K835">
        <v>0</v>
      </c>
      <c r="L835">
        <v>19944</v>
      </c>
      <c r="M835">
        <v>0</v>
      </c>
      <c r="N835">
        <v>503</v>
      </c>
      <c r="O835">
        <v>24</v>
      </c>
      <c r="P835" t="s">
        <v>32</v>
      </c>
      <c r="Q835">
        <v>2590259</v>
      </c>
      <c r="R835" t="s">
        <v>49</v>
      </c>
      <c r="S835" t="s">
        <v>74</v>
      </c>
      <c r="T835" t="s">
        <v>45</v>
      </c>
    </row>
    <row r="836" spans="1:20" x14ac:dyDescent="0.3">
      <c r="A836" t="s">
        <v>1163</v>
      </c>
      <c r="B836" s="1">
        <v>46003</v>
      </c>
      <c r="C836" s="1" t="s">
        <v>1332</v>
      </c>
      <c r="D836" t="s">
        <v>297</v>
      </c>
      <c r="E836" t="s">
        <v>37</v>
      </c>
      <c r="F836" t="s">
        <v>64</v>
      </c>
      <c r="G836" t="s">
        <v>68</v>
      </c>
      <c r="H836" t="s">
        <v>40</v>
      </c>
      <c r="I836">
        <v>0</v>
      </c>
      <c r="J836">
        <v>90116</v>
      </c>
      <c r="K836">
        <v>0</v>
      </c>
      <c r="L836">
        <v>0</v>
      </c>
      <c r="M836">
        <v>0</v>
      </c>
      <c r="N836">
        <v>471</v>
      </c>
      <c r="O836">
        <v>40</v>
      </c>
      <c r="P836" t="s">
        <v>25</v>
      </c>
      <c r="Q836">
        <v>1465171</v>
      </c>
      <c r="R836" t="s">
        <v>49</v>
      </c>
      <c r="S836" t="s">
        <v>27</v>
      </c>
      <c r="T836" t="s">
        <v>41</v>
      </c>
    </row>
    <row r="837" spans="1:20" x14ac:dyDescent="0.3">
      <c r="A837" t="s">
        <v>1164</v>
      </c>
      <c r="B837" s="1">
        <v>45741</v>
      </c>
      <c r="C837" s="1" t="s">
        <v>1323</v>
      </c>
      <c r="D837" t="s">
        <v>1076</v>
      </c>
      <c r="E837" t="s">
        <v>21</v>
      </c>
      <c r="F837" t="s">
        <v>44</v>
      </c>
      <c r="G837" t="s">
        <v>68</v>
      </c>
      <c r="H837" t="s">
        <v>24</v>
      </c>
      <c r="I837">
        <v>0</v>
      </c>
      <c r="J837">
        <v>0</v>
      </c>
      <c r="K837">
        <v>0</v>
      </c>
      <c r="L837">
        <v>0</v>
      </c>
      <c r="M837">
        <v>9051.02</v>
      </c>
      <c r="N837">
        <v>491</v>
      </c>
      <c r="O837">
        <v>30</v>
      </c>
      <c r="P837" t="s">
        <v>25</v>
      </c>
      <c r="Q837">
        <v>441141</v>
      </c>
      <c r="R837" t="s">
        <v>49</v>
      </c>
      <c r="S837" t="s">
        <v>27</v>
      </c>
      <c r="T837" t="s">
        <v>28</v>
      </c>
    </row>
    <row r="838" spans="1:20" x14ac:dyDescent="0.3">
      <c r="A838" t="s">
        <v>1165</v>
      </c>
      <c r="B838" s="1">
        <v>45891</v>
      </c>
      <c r="C838" s="1" t="s">
        <v>1328</v>
      </c>
      <c r="D838" t="s">
        <v>237</v>
      </c>
      <c r="E838" t="s">
        <v>21</v>
      </c>
      <c r="F838" t="s">
        <v>21</v>
      </c>
      <c r="G838" t="s">
        <v>23</v>
      </c>
      <c r="H838" t="s">
        <v>24</v>
      </c>
      <c r="I838">
        <v>0</v>
      </c>
      <c r="J838">
        <v>0</v>
      </c>
      <c r="K838">
        <v>0</v>
      </c>
      <c r="L838">
        <v>0</v>
      </c>
      <c r="M838">
        <v>7494.84</v>
      </c>
      <c r="N838">
        <v>382</v>
      </c>
      <c r="O838">
        <v>55</v>
      </c>
      <c r="P838" t="s">
        <v>25</v>
      </c>
      <c r="Q838">
        <v>1010182</v>
      </c>
      <c r="R838" t="s">
        <v>49</v>
      </c>
      <c r="S838" t="s">
        <v>27</v>
      </c>
      <c r="T838" t="s">
        <v>45</v>
      </c>
    </row>
    <row r="839" spans="1:20" x14ac:dyDescent="0.3">
      <c r="A839" t="s">
        <v>1166</v>
      </c>
      <c r="B839" s="1">
        <v>45761</v>
      </c>
      <c r="C839" s="1" t="s">
        <v>1324</v>
      </c>
      <c r="D839" t="s">
        <v>545</v>
      </c>
      <c r="E839" t="s">
        <v>63</v>
      </c>
      <c r="F839" t="s">
        <v>38</v>
      </c>
      <c r="G839" t="s">
        <v>23</v>
      </c>
      <c r="H839" t="s">
        <v>24</v>
      </c>
      <c r="I839">
        <v>0</v>
      </c>
      <c r="J839">
        <v>0</v>
      </c>
      <c r="K839">
        <v>0</v>
      </c>
      <c r="L839">
        <v>0</v>
      </c>
      <c r="M839">
        <v>5479.86</v>
      </c>
      <c r="N839">
        <v>335</v>
      </c>
      <c r="O839">
        <v>21</v>
      </c>
      <c r="P839" t="s">
        <v>25</v>
      </c>
      <c r="Q839">
        <v>1900790</v>
      </c>
      <c r="R839" t="s">
        <v>26</v>
      </c>
      <c r="S839" t="s">
        <v>27</v>
      </c>
      <c r="T839" t="s">
        <v>34</v>
      </c>
    </row>
    <row r="840" spans="1:20" x14ac:dyDescent="0.3">
      <c r="A840" t="s">
        <v>1167</v>
      </c>
      <c r="B840" s="1">
        <v>45924</v>
      </c>
      <c r="C840" s="1" t="s">
        <v>1329</v>
      </c>
      <c r="D840" t="s">
        <v>308</v>
      </c>
      <c r="E840" t="s">
        <v>55</v>
      </c>
      <c r="F840" t="s">
        <v>21</v>
      </c>
      <c r="G840" t="s">
        <v>68</v>
      </c>
      <c r="H840" t="s">
        <v>24</v>
      </c>
      <c r="I840">
        <v>0</v>
      </c>
      <c r="J840">
        <v>0</v>
      </c>
      <c r="K840">
        <v>0</v>
      </c>
      <c r="L840">
        <v>0</v>
      </c>
      <c r="M840">
        <v>7669.98</v>
      </c>
      <c r="N840">
        <v>305</v>
      </c>
      <c r="O840">
        <v>69</v>
      </c>
      <c r="P840" t="s">
        <v>25</v>
      </c>
      <c r="Q840">
        <v>896836</v>
      </c>
      <c r="R840" t="s">
        <v>26</v>
      </c>
      <c r="S840" t="s">
        <v>27</v>
      </c>
      <c r="T840" t="s">
        <v>28</v>
      </c>
    </row>
    <row r="841" spans="1:20" x14ac:dyDescent="0.3">
      <c r="A841" t="s">
        <v>1168</v>
      </c>
      <c r="B841" s="1">
        <v>45745</v>
      </c>
      <c r="C841" s="1" t="s">
        <v>1323</v>
      </c>
      <c r="D841" t="s">
        <v>588</v>
      </c>
      <c r="E841" t="s">
        <v>48</v>
      </c>
      <c r="F841" t="s">
        <v>44</v>
      </c>
      <c r="G841" t="s">
        <v>68</v>
      </c>
      <c r="H841" t="s">
        <v>56</v>
      </c>
      <c r="I841">
        <v>29658</v>
      </c>
      <c r="J841">
        <v>0</v>
      </c>
      <c r="K841">
        <v>0</v>
      </c>
      <c r="L841">
        <v>0</v>
      </c>
      <c r="M841">
        <v>0</v>
      </c>
      <c r="N841">
        <v>516</v>
      </c>
      <c r="O841">
        <v>28</v>
      </c>
      <c r="P841" t="s">
        <v>25</v>
      </c>
      <c r="Q841">
        <f>MEDIAN(201200,3000000)</f>
        <v>1600600</v>
      </c>
      <c r="R841" t="s">
        <v>49</v>
      </c>
      <c r="S841" t="s">
        <v>27</v>
      </c>
      <c r="T841" t="s">
        <v>45</v>
      </c>
    </row>
    <row r="842" spans="1:20" x14ac:dyDescent="0.3">
      <c r="A842" t="s">
        <v>1169</v>
      </c>
      <c r="B842" s="1">
        <v>45679</v>
      </c>
      <c r="C842" s="1" t="s">
        <v>1321</v>
      </c>
      <c r="D842" t="s">
        <v>279</v>
      </c>
      <c r="E842" t="s">
        <v>55</v>
      </c>
      <c r="F842" t="s">
        <v>44</v>
      </c>
      <c r="G842" t="s">
        <v>23</v>
      </c>
      <c r="H842" t="s">
        <v>31</v>
      </c>
      <c r="I842">
        <v>0</v>
      </c>
      <c r="J842">
        <v>0</v>
      </c>
      <c r="K842">
        <v>680979</v>
      </c>
      <c r="L842">
        <v>0</v>
      </c>
      <c r="M842">
        <v>0</v>
      </c>
      <c r="N842">
        <v>348</v>
      </c>
      <c r="O842">
        <v>19</v>
      </c>
      <c r="P842" t="s">
        <v>32</v>
      </c>
      <c r="Q842">
        <v>365102</v>
      </c>
      <c r="R842" t="s">
        <v>49</v>
      </c>
      <c r="S842" t="s">
        <v>33</v>
      </c>
      <c r="T842" t="s">
        <v>28</v>
      </c>
    </row>
    <row r="843" spans="1:20" x14ac:dyDescent="0.3">
      <c r="A843" t="s">
        <v>1170</v>
      </c>
      <c r="B843" s="1">
        <v>45876</v>
      </c>
      <c r="C843" s="1" t="s">
        <v>1328</v>
      </c>
      <c r="D843" t="s">
        <v>818</v>
      </c>
      <c r="E843" t="s">
        <v>1338</v>
      </c>
      <c r="F843" t="s">
        <v>64</v>
      </c>
      <c r="G843" t="s">
        <v>59</v>
      </c>
      <c r="H843" t="s">
        <v>31</v>
      </c>
      <c r="I843">
        <v>0</v>
      </c>
      <c r="J843">
        <v>0</v>
      </c>
      <c r="K843">
        <v>51271</v>
      </c>
      <c r="L843">
        <v>0</v>
      </c>
      <c r="M843">
        <v>0</v>
      </c>
      <c r="N843">
        <v>361</v>
      </c>
      <c r="O843">
        <v>42</v>
      </c>
      <c r="P843" t="s">
        <v>32</v>
      </c>
      <c r="Q843">
        <v>2596297</v>
      </c>
      <c r="R843" t="s">
        <v>49</v>
      </c>
      <c r="S843" t="s">
        <v>65</v>
      </c>
      <c r="T843" t="s">
        <v>28</v>
      </c>
    </row>
    <row r="844" spans="1:20" x14ac:dyDescent="0.3">
      <c r="A844" t="s">
        <v>1171</v>
      </c>
      <c r="B844" s="1">
        <v>45672</v>
      </c>
      <c r="C844" s="1" t="s">
        <v>1321</v>
      </c>
      <c r="D844" t="s">
        <v>1172</v>
      </c>
      <c r="E844" t="s">
        <v>63</v>
      </c>
      <c r="F844" t="s">
        <v>38</v>
      </c>
      <c r="G844" t="s">
        <v>39</v>
      </c>
      <c r="H844" t="s">
        <v>40</v>
      </c>
      <c r="I844">
        <v>0</v>
      </c>
      <c r="J844">
        <v>90492</v>
      </c>
      <c r="K844">
        <v>0</v>
      </c>
      <c r="L844">
        <v>0</v>
      </c>
      <c r="M844">
        <v>0</v>
      </c>
      <c r="N844">
        <v>630</v>
      </c>
      <c r="O844">
        <v>59</v>
      </c>
      <c r="P844" t="s">
        <v>25</v>
      </c>
      <c r="Q844">
        <v>259642</v>
      </c>
      <c r="R844" t="s">
        <v>26</v>
      </c>
      <c r="S844" t="s">
        <v>27</v>
      </c>
      <c r="T844" t="s">
        <v>45</v>
      </c>
    </row>
    <row r="845" spans="1:20" x14ac:dyDescent="0.3">
      <c r="A845" t="s">
        <v>1173</v>
      </c>
      <c r="B845" s="1">
        <v>45791</v>
      </c>
      <c r="C845" s="1" t="s">
        <v>1325</v>
      </c>
      <c r="D845" t="s">
        <v>656</v>
      </c>
      <c r="E845" t="s">
        <v>37</v>
      </c>
      <c r="F845" t="s">
        <v>38</v>
      </c>
      <c r="G845" t="s">
        <v>23</v>
      </c>
      <c r="H845" t="s">
        <v>24</v>
      </c>
      <c r="I845">
        <v>0</v>
      </c>
      <c r="J845">
        <v>0</v>
      </c>
      <c r="K845">
        <v>0</v>
      </c>
      <c r="L845">
        <v>0</v>
      </c>
      <c r="M845">
        <v>3953.76</v>
      </c>
      <c r="N845">
        <v>583</v>
      </c>
      <c r="O845">
        <v>33</v>
      </c>
      <c r="P845" t="s">
        <v>25</v>
      </c>
      <c r="Q845">
        <v>2577226</v>
      </c>
      <c r="R845" t="s">
        <v>26</v>
      </c>
      <c r="S845" t="s">
        <v>27</v>
      </c>
      <c r="T845" t="s">
        <v>41</v>
      </c>
    </row>
    <row r="846" spans="1:20" x14ac:dyDescent="0.3">
      <c r="A846" t="s">
        <v>1174</v>
      </c>
      <c r="B846" s="1">
        <v>45715</v>
      </c>
      <c r="C846" s="1" t="s">
        <v>1322</v>
      </c>
      <c r="D846" t="s">
        <v>167</v>
      </c>
      <c r="E846" t="s">
        <v>63</v>
      </c>
      <c r="F846" t="s">
        <v>38</v>
      </c>
      <c r="G846" t="s">
        <v>59</v>
      </c>
      <c r="H846" t="s">
        <v>31</v>
      </c>
      <c r="I846">
        <v>0</v>
      </c>
      <c r="J846">
        <v>0</v>
      </c>
      <c r="K846">
        <v>1549068</v>
      </c>
      <c r="L846">
        <v>0</v>
      </c>
      <c r="M846">
        <v>0</v>
      </c>
      <c r="N846">
        <v>335</v>
      </c>
      <c r="O846">
        <v>60</v>
      </c>
      <c r="P846" t="s">
        <v>32</v>
      </c>
      <c r="Q846">
        <v>1173933</v>
      </c>
      <c r="R846" t="s">
        <v>49</v>
      </c>
      <c r="S846" t="s">
        <v>65</v>
      </c>
      <c r="T846" t="s">
        <v>41</v>
      </c>
    </row>
    <row r="847" spans="1:20" x14ac:dyDescent="0.3">
      <c r="A847" t="s">
        <v>1175</v>
      </c>
      <c r="B847" s="1">
        <v>45659</v>
      </c>
      <c r="C847" s="1" t="s">
        <v>1321</v>
      </c>
      <c r="D847" t="s">
        <v>978</v>
      </c>
      <c r="E847" t="s">
        <v>37</v>
      </c>
      <c r="F847" t="s">
        <v>22</v>
      </c>
      <c r="G847" t="s">
        <v>68</v>
      </c>
      <c r="H847" t="s">
        <v>31</v>
      </c>
      <c r="I847">
        <v>0</v>
      </c>
      <c r="J847">
        <v>0</v>
      </c>
      <c r="K847">
        <v>1984932</v>
      </c>
      <c r="L847">
        <v>0</v>
      </c>
      <c r="M847">
        <v>0</v>
      </c>
      <c r="N847">
        <v>769</v>
      </c>
      <c r="O847">
        <v>64</v>
      </c>
      <c r="P847" t="s">
        <v>25</v>
      </c>
      <c r="Q847">
        <v>2574066</v>
      </c>
      <c r="R847" t="s">
        <v>49</v>
      </c>
      <c r="S847" t="s">
        <v>65</v>
      </c>
      <c r="T847" t="s">
        <v>45</v>
      </c>
    </row>
    <row r="848" spans="1:20" x14ac:dyDescent="0.3">
      <c r="A848" t="s">
        <v>1176</v>
      </c>
      <c r="B848" s="1">
        <v>45980</v>
      </c>
      <c r="C848" s="1" t="s">
        <v>1331</v>
      </c>
      <c r="D848" t="s">
        <v>851</v>
      </c>
      <c r="E848" t="s">
        <v>55</v>
      </c>
      <c r="F848" t="s">
        <v>22</v>
      </c>
      <c r="G848" t="s">
        <v>39</v>
      </c>
      <c r="H848" t="s">
        <v>52</v>
      </c>
      <c r="I848">
        <v>0</v>
      </c>
      <c r="J848">
        <v>0</v>
      </c>
      <c r="K848">
        <v>0</v>
      </c>
      <c r="L848">
        <v>48998</v>
      </c>
      <c r="M848">
        <v>0</v>
      </c>
      <c r="N848">
        <v>880</v>
      </c>
      <c r="O848">
        <v>63</v>
      </c>
      <c r="P848" t="s">
        <v>32</v>
      </c>
      <c r="Q848">
        <v>606911</v>
      </c>
      <c r="R848" t="s">
        <v>26</v>
      </c>
      <c r="S848" t="s">
        <v>71</v>
      </c>
      <c r="T848" t="s">
        <v>41</v>
      </c>
    </row>
    <row r="849" spans="1:20" x14ac:dyDescent="0.3">
      <c r="A849" t="s">
        <v>1177</v>
      </c>
      <c r="B849" s="1">
        <v>45685</v>
      </c>
      <c r="C849" s="1" t="s">
        <v>1321</v>
      </c>
      <c r="D849" t="s">
        <v>124</v>
      </c>
      <c r="E849" t="s">
        <v>21</v>
      </c>
      <c r="F849" t="s">
        <v>38</v>
      </c>
      <c r="G849" t="s">
        <v>39</v>
      </c>
      <c r="H849" t="s">
        <v>24</v>
      </c>
      <c r="I849">
        <v>0</v>
      </c>
      <c r="J849">
        <v>0</v>
      </c>
      <c r="K849">
        <v>0</v>
      </c>
      <c r="L849">
        <v>0</v>
      </c>
      <c r="M849">
        <v>818.15</v>
      </c>
      <c r="N849">
        <v>864</v>
      </c>
      <c r="O849">
        <v>57</v>
      </c>
      <c r="P849" t="s">
        <v>32</v>
      </c>
      <c r="Q849">
        <v>837387</v>
      </c>
      <c r="R849" t="s">
        <v>26</v>
      </c>
      <c r="S849" t="s">
        <v>27</v>
      </c>
      <c r="T849" t="s">
        <v>45</v>
      </c>
    </row>
    <row r="850" spans="1:20" x14ac:dyDescent="0.3">
      <c r="A850" t="s">
        <v>1178</v>
      </c>
      <c r="B850" s="1">
        <v>45869</v>
      </c>
      <c r="C850" s="1" t="s">
        <v>1327</v>
      </c>
      <c r="D850" t="s">
        <v>629</v>
      </c>
      <c r="E850" t="s">
        <v>63</v>
      </c>
      <c r="F850" t="s">
        <v>38</v>
      </c>
      <c r="G850" t="s">
        <v>23</v>
      </c>
      <c r="H850" t="s">
        <v>40</v>
      </c>
      <c r="I850">
        <v>0</v>
      </c>
      <c r="J850">
        <v>90908</v>
      </c>
      <c r="K850">
        <v>0</v>
      </c>
      <c r="L850">
        <v>0</v>
      </c>
      <c r="M850">
        <v>0</v>
      </c>
      <c r="N850">
        <v>628</v>
      </c>
      <c r="O850">
        <v>46</v>
      </c>
      <c r="P850" t="s">
        <v>32</v>
      </c>
      <c r="Q850">
        <v>1159226</v>
      </c>
      <c r="R850" t="s">
        <v>26</v>
      </c>
      <c r="S850" t="s">
        <v>27</v>
      </c>
      <c r="T850" t="s">
        <v>28</v>
      </c>
    </row>
    <row r="851" spans="1:20" x14ac:dyDescent="0.3">
      <c r="A851" t="s">
        <v>1179</v>
      </c>
      <c r="B851" s="1">
        <v>45704</v>
      </c>
      <c r="C851" s="1" t="s">
        <v>1322</v>
      </c>
      <c r="D851" t="s">
        <v>1067</v>
      </c>
      <c r="E851" t="s">
        <v>63</v>
      </c>
      <c r="F851" t="s">
        <v>22</v>
      </c>
      <c r="G851" t="s">
        <v>39</v>
      </c>
      <c r="H851" t="s">
        <v>52</v>
      </c>
      <c r="I851">
        <v>0</v>
      </c>
      <c r="J851">
        <v>0</v>
      </c>
      <c r="K851">
        <v>0</v>
      </c>
      <c r="L851">
        <v>15098</v>
      </c>
      <c r="M851">
        <v>0</v>
      </c>
      <c r="N851">
        <v>498</v>
      </c>
      <c r="O851">
        <v>63</v>
      </c>
      <c r="P851" t="s">
        <v>32</v>
      </c>
      <c r="Q851">
        <v>2070556</v>
      </c>
      <c r="R851" t="s">
        <v>49</v>
      </c>
      <c r="S851" t="s">
        <v>71</v>
      </c>
      <c r="T851" t="s">
        <v>34</v>
      </c>
    </row>
    <row r="852" spans="1:20" x14ac:dyDescent="0.3">
      <c r="A852" t="s">
        <v>1180</v>
      </c>
      <c r="B852" s="1">
        <v>45711</v>
      </c>
      <c r="C852" s="1" t="s">
        <v>1322</v>
      </c>
      <c r="D852" t="s">
        <v>157</v>
      </c>
      <c r="E852" t="s">
        <v>37</v>
      </c>
      <c r="F852" t="s">
        <v>64</v>
      </c>
      <c r="G852" t="s">
        <v>68</v>
      </c>
      <c r="H852" t="s">
        <v>52</v>
      </c>
      <c r="I852">
        <v>0</v>
      </c>
      <c r="J852">
        <v>0</v>
      </c>
      <c r="K852">
        <v>0</v>
      </c>
      <c r="L852">
        <v>23427</v>
      </c>
      <c r="M852">
        <v>0</v>
      </c>
      <c r="N852">
        <v>733</v>
      </c>
      <c r="O852">
        <v>52</v>
      </c>
      <c r="P852" t="s">
        <v>32</v>
      </c>
      <c r="Q852">
        <v>1794512</v>
      </c>
      <c r="R852" t="s">
        <v>26</v>
      </c>
      <c r="S852" t="s">
        <v>71</v>
      </c>
      <c r="T852" t="s">
        <v>28</v>
      </c>
    </row>
    <row r="853" spans="1:20" x14ac:dyDescent="0.3">
      <c r="A853" t="s">
        <v>1181</v>
      </c>
      <c r="B853" s="1">
        <v>45746</v>
      </c>
      <c r="C853" s="1" t="s">
        <v>1323</v>
      </c>
      <c r="D853" t="s">
        <v>531</v>
      </c>
      <c r="E853" t="s">
        <v>37</v>
      </c>
      <c r="F853" t="s">
        <v>44</v>
      </c>
      <c r="G853" t="s">
        <v>39</v>
      </c>
      <c r="H853" t="s">
        <v>24</v>
      </c>
      <c r="I853">
        <v>0</v>
      </c>
      <c r="J853">
        <v>0</v>
      </c>
      <c r="K853">
        <v>0</v>
      </c>
      <c r="L853">
        <v>0</v>
      </c>
      <c r="M853">
        <v>4002.4</v>
      </c>
      <c r="N853">
        <v>338</v>
      </c>
      <c r="O853">
        <v>37</v>
      </c>
      <c r="P853" t="s">
        <v>25</v>
      </c>
      <c r="Q853">
        <v>1458087</v>
      </c>
      <c r="R853" t="s">
        <v>49</v>
      </c>
      <c r="S853" t="s">
        <v>27</v>
      </c>
      <c r="T853" t="s">
        <v>60</v>
      </c>
    </row>
    <row r="854" spans="1:20" x14ac:dyDescent="0.3">
      <c r="A854" t="s">
        <v>1182</v>
      </c>
      <c r="B854" s="1">
        <v>46022</v>
      </c>
      <c r="C854" s="1" t="s">
        <v>1332</v>
      </c>
      <c r="D854" t="s">
        <v>161</v>
      </c>
      <c r="E854" t="s">
        <v>55</v>
      </c>
      <c r="F854" t="s">
        <v>38</v>
      </c>
      <c r="G854" t="s">
        <v>39</v>
      </c>
      <c r="H854" t="s">
        <v>31</v>
      </c>
      <c r="I854">
        <v>0</v>
      </c>
      <c r="J854">
        <v>0</v>
      </c>
      <c r="K854">
        <v>1752248</v>
      </c>
      <c r="L854">
        <v>0</v>
      </c>
      <c r="M854">
        <v>0</v>
      </c>
      <c r="N854">
        <v>692</v>
      </c>
      <c r="O854">
        <v>19</v>
      </c>
      <c r="P854" t="s">
        <v>25</v>
      </c>
      <c r="Q854">
        <v>783567</v>
      </c>
      <c r="R854" t="s">
        <v>49</v>
      </c>
      <c r="S854" t="s">
        <v>65</v>
      </c>
      <c r="T854" t="s">
        <v>45</v>
      </c>
    </row>
    <row r="855" spans="1:20" x14ac:dyDescent="0.3">
      <c r="A855" t="s">
        <v>1183</v>
      </c>
      <c r="B855" s="1">
        <v>45931</v>
      </c>
      <c r="C855" s="1" t="s">
        <v>1330</v>
      </c>
      <c r="D855" t="s">
        <v>665</v>
      </c>
      <c r="E855" t="s">
        <v>37</v>
      </c>
      <c r="F855" t="s">
        <v>44</v>
      </c>
      <c r="G855" t="s">
        <v>39</v>
      </c>
      <c r="H855" t="s">
        <v>31</v>
      </c>
      <c r="I855">
        <v>0</v>
      </c>
      <c r="J855">
        <v>0</v>
      </c>
      <c r="K855">
        <v>1774908</v>
      </c>
      <c r="L855">
        <v>0</v>
      </c>
      <c r="M855">
        <v>0</v>
      </c>
      <c r="N855">
        <v>660</v>
      </c>
      <c r="O855">
        <v>50</v>
      </c>
      <c r="P855" t="s">
        <v>25</v>
      </c>
      <c r="Q855">
        <v>2777793</v>
      </c>
      <c r="R855" t="s">
        <v>49</v>
      </c>
      <c r="S855" t="s">
        <v>33</v>
      </c>
      <c r="T855" t="s">
        <v>28</v>
      </c>
    </row>
    <row r="856" spans="1:20" x14ac:dyDescent="0.3">
      <c r="A856" t="s">
        <v>1184</v>
      </c>
      <c r="B856" s="1">
        <v>45834</v>
      </c>
      <c r="C856" s="1" t="s">
        <v>1326</v>
      </c>
      <c r="D856" t="s">
        <v>801</v>
      </c>
      <c r="E856" t="s">
        <v>48</v>
      </c>
      <c r="F856" t="s">
        <v>44</v>
      </c>
      <c r="G856" t="s">
        <v>39</v>
      </c>
      <c r="H856" t="s">
        <v>56</v>
      </c>
      <c r="I856">
        <v>12764</v>
      </c>
      <c r="J856">
        <v>0</v>
      </c>
      <c r="K856">
        <v>0</v>
      </c>
      <c r="L856">
        <v>0</v>
      </c>
      <c r="M856">
        <v>0</v>
      </c>
      <c r="N856">
        <v>534</v>
      </c>
      <c r="O856">
        <v>54</v>
      </c>
      <c r="P856" t="s">
        <v>25</v>
      </c>
      <c r="Q856">
        <v>1400212</v>
      </c>
      <c r="R856" t="s">
        <v>49</v>
      </c>
      <c r="S856" t="s">
        <v>27</v>
      </c>
      <c r="T856" t="s">
        <v>41</v>
      </c>
    </row>
    <row r="857" spans="1:20" x14ac:dyDescent="0.3">
      <c r="A857" t="s">
        <v>1185</v>
      </c>
      <c r="B857" s="1">
        <v>45881</v>
      </c>
      <c r="C857" s="1" t="s">
        <v>1328</v>
      </c>
      <c r="D857" t="s">
        <v>179</v>
      </c>
      <c r="E857" t="s">
        <v>55</v>
      </c>
      <c r="F857" t="s">
        <v>64</v>
      </c>
      <c r="G857" t="s">
        <v>39</v>
      </c>
      <c r="H857" t="s">
        <v>31</v>
      </c>
      <c r="I857">
        <v>0</v>
      </c>
      <c r="J857">
        <v>0</v>
      </c>
      <c r="K857">
        <v>553666</v>
      </c>
      <c r="L857">
        <v>0</v>
      </c>
      <c r="M857">
        <v>0</v>
      </c>
      <c r="N857">
        <v>662</v>
      </c>
      <c r="O857">
        <v>20</v>
      </c>
      <c r="P857" t="s">
        <v>32</v>
      </c>
      <c r="Q857">
        <v>2890590</v>
      </c>
      <c r="R857" t="s">
        <v>49</v>
      </c>
      <c r="S857" t="s">
        <v>65</v>
      </c>
      <c r="T857" t="s">
        <v>28</v>
      </c>
    </row>
    <row r="858" spans="1:20" x14ac:dyDescent="0.3">
      <c r="A858" t="s">
        <v>1186</v>
      </c>
      <c r="B858" s="1">
        <v>45713</v>
      </c>
      <c r="C858" s="1" t="s">
        <v>1322</v>
      </c>
      <c r="D858" t="s">
        <v>1187</v>
      </c>
      <c r="E858" t="s">
        <v>21</v>
      </c>
      <c r="F858" t="s">
        <v>22</v>
      </c>
      <c r="G858" t="s">
        <v>68</v>
      </c>
      <c r="H858" t="s">
        <v>40</v>
      </c>
      <c r="I858">
        <v>0</v>
      </c>
      <c r="J858">
        <v>23394</v>
      </c>
      <c r="K858">
        <v>0</v>
      </c>
      <c r="L858">
        <v>0</v>
      </c>
      <c r="M858">
        <v>0</v>
      </c>
      <c r="N858">
        <v>320</v>
      </c>
      <c r="O858">
        <v>50</v>
      </c>
      <c r="P858" t="s">
        <v>32</v>
      </c>
      <c r="Q858">
        <v>1396373</v>
      </c>
      <c r="R858" t="s">
        <v>49</v>
      </c>
      <c r="S858" t="s">
        <v>27</v>
      </c>
      <c r="T858" t="s">
        <v>34</v>
      </c>
    </row>
    <row r="859" spans="1:20" x14ac:dyDescent="0.3">
      <c r="A859" t="s">
        <v>1188</v>
      </c>
      <c r="B859" s="1">
        <v>45850</v>
      </c>
      <c r="C859" s="1" t="s">
        <v>1327</v>
      </c>
      <c r="D859" t="s">
        <v>140</v>
      </c>
      <c r="E859" t="s">
        <v>63</v>
      </c>
      <c r="F859" t="s">
        <v>21</v>
      </c>
      <c r="G859" t="s">
        <v>59</v>
      </c>
      <c r="H859" t="s">
        <v>52</v>
      </c>
      <c r="I859">
        <v>0</v>
      </c>
      <c r="J859">
        <v>0</v>
      </c>
      <c r="K859">
        <v>0</v>
      </c>
      <c r="L859">
        <v>19817</v>
      </c>
      <c r="M859">
        <v>0</v>
      </c>
      <c r="N859">
        <v>577</v>
      </c>
      <c r="O859">
        <v>70</v>
      </c>
      <c r="P859" t="s">
        <v>25</v>
      </c>
      <c r="Q859">
        <v>604643</v>
      </c>
      <c r="R859" t="s">
        <v>49</v>
      </c>
      <c r="S859" t="s">
        <v>74</v>
      </c>
      <c r="T859" t="s">
        <v>60</v>
      </c>
    </row>
    <row r="860" spans="1:20" x14ac:dyDescent="0.3">
      <c r="A860" t="s">
        <v>1189</v>
      </c>
      <c r="B860" s="1">
        <v>45914</v>
      </c>
      <c r="C860" s="1" t="s">
        <v>1329</v>
      </c>
      <c r="D860" t="s">
        <v>370</v>
      </c>
      <c r="E860" t="s">
        <v>77</v>
      </c>
      <c r="F860" t="s">
        <v>21</v>
      </c>
      <c r="G860" t="s">
        <v>59</v>
      </c>
      <c r="H860" t="s">
        <v>56</v>
      </c>
      <c r="I860">
        <v>27574</v>
      </c>
      <c r="J860">
        <v>0</v>
      </c>
      <c r="K860">
        <v>0</v>
      </c>
      <c r="L860">
        <v>0</v>
      </c>
      <c r="M860">
        <v>0</v>
      </c>
      <c r="N860">
        <v>614</v>
      </c>
      <c r="O860">
        <v>61</v>
      </c>
      <c r="P860" t="s">
        <v>32</v>
      </c>
      <c r="Q860">
        <v>2528732</v>
      </c>
      <c r="R860" t="s">
        <v>26</v>
      </c>
      <c r="S860" t="s">
        <v>27</v>
      </c>
      <c r="T860" t="s">
        <v>28</v>
      </c>
    </row>
    <row r="861" spans="1:20" x14ac:dyDescent="0.3">
      <c r="A861" t="s">
        <v>1190</v>
      </c>
      <c r="B861" s="1">
        <v>45724</v>
      </c>
      <c r="C861" s="1" t="s">
        <v>1323</v>
      </c>
      <c r="D861" t="s">
        <v>705</v>
      </c>
      <c r="E861" t="s">
        <v>37</v>
      </c>
      <c r="F861" t="s">
        <v>64</v>
      </c>
      <c r="G861" t="s">
        <v>68</v>
      </c>
      <c r="H861" t="s">
        <v>56</v>
      </c>
      <c r="I861">
        <v>9332</v>
      </c>
      <c r="J861">
        <v>0</v>
      </c>
      <c r="K861">
        <v>0</v>
      </c>
      <c r="L861">
        <v>0</v>
      </c>
      <c r="M861">
        <v>0</v>
      </c>
      <c r="N861">
        <v>553</v>
      </c>
      <c r="O861">
        <v>36</v>
      </c>
      <c r="P861" t="s">
        <v>32</v>
      </c>
      <c r="Q861">
        <v>590641</v>
      </c>
      <c r="R861" t="s">
        <v>26</v>
      </c>
      <c r="S861" t="s">
        <v>27</v>
      </c>
      <c r="T861" t="s">
        <v>60</v>
      </c>
    </row>
    <row r="862" spans="1:20" x14ac:dyDescent="0.3">
      <c r="A862" t="s">
        <v>1191</v>
      </c>
      <c r="B862" s="1">
        <v>45846</v>
      </c>
      <c r="C862" s="1" t="s">
        <v>1327</v>
      </c>
      <c r="D862" t="s">
        <v>1058</v>
      </c>
      <c r="E862" t="s">
        <v>55</v>
      </c>
      <c r="F862" t="s">
        <v>21</v>
      </c>
      <c r="G862" t="s">
        <v>23</v>
      </c>
      <c r="H862" t="s">
        <v>40</v>
      </c>
      <c r="I862">
        <v>0</v>
      </c>
      <c r="J862">
        <v>48397</v>
      </c>
      <c r="K862">
        <v>0</v>
      </c>
      <c r="L862">
        <v>0</v>
      </c>
      <c r="M862">
        <v>0</v>
      </c>
      <c r="N862">
        <v>435</v>
      </c>
      <c r="O862">
        <v>33</v>
      </c>
      <c r="P862" t="s">
        <v>25</v>
      </c>
      <c r="Q862">
        <v>2296629</v>
      </c>
      <c r="R862" t="s">
        <v>26</v>
      </c>
      <c r="S862" t="s">
        <v>27</v>
      </c>
      <c r="T862" t="s">
        <v>34</v>
      </c>
    </row>
    <row r="863" spans="1:20" x14ac:dyDescent="0.3">
      <c r="A863" t="s">
        <v>1192</v>
      </c>
      <c r="B863" s="1">
        <v>45744</v>
      </c>
      <c r="C863" s="1" t="s">
        <v>1323</v>
      </c>
      <c r="D863" t="s">
        <v>814</v>
      </c>
      <c r="E863" t="s">
        <v>37</v>
      </c>
      <c r="F863" t="s">
        <v>64</v>
      </c>
      <c r="G863" t="s">
        <v>59</v>
      </c>
      <c r="H863" t="s">
        <v>24</v>
      </c>
      <c r="I863">
        <v>0</v>
      </c>
      <c r="J863">
        <v>0</v>
      </c>
      <c r="K863">
        <v>0</v>
      </c>
      <c r="L863">
        <v>0</v>
      </c>
      <c r="M863">
        <v>997.62</v>
      </c>
      <c r="N863">
        <v>753</v>
      </c>
      <c r="O863">
        <v>32</v>
      </c>
      <c r="P863" t="s">
        <v>25</v>
      </c>
      <c r="Q863">
        <v>2359209</v>
      </c>
      <c r="R863" t="s">
        <v>26</v>
      </c>
      <c r="S863" t="s">
        <v>27</v>
      </c>
      <c r="T863" t="s">
        <v>60</v>
      </c>
    </row>
    <row r="864" spans="1:20" x14ac:dyDescent="0.3">
      <c r="A864" t="s">
        <v>1193</v>
      </c>
      <c r="B864" s="1">
        <v>45852</v>
      </c>
      <c r="C864" s="1" t="s">
        <v>1327</v>
      </c>
      <c r="D864" t="s">
        <v>799</v>
      </c>
      <c r="E864" t="s">
        <v>63</v>
      </c>
      <c r="F864" t="s">
        <v>21</v>
      </c>
      <c r="G864" t="s">
        <v>39</v>
      </c>
      <c r="H864" t="s">
        <v>24</v>
      </c>
      <c r="I864">
        <v>0</v>
      </c>
      <c r="J864">
        <v>0</v>
      </c>
      <c r="K864">
        <v>0</v>
      </c>
      <c r="L864">
        <v>0</v>
      </c>
      <c r="M864">
        <v>4512.05</v>
      </c>
      <c r="N864">
        <v>631</v>
      </c>
      <c r="O864">
        <v>62</v>
      </c>
      <c r="P864" t="s">
        <v>32</v>
      </c>
      <c r="Q864">
        <v>1519660</v>
      </c>
      <c r="R864" t="s">
        <v>49</v>
      </c>
      <c r="S864" t="s">
        <v>27</v>
      </c>
      <c r="T864" t="s">
        <v>41</v>
      </c>
    </row>
    <row r="865" spans="1:20" x14ac:dyDescent="0.3">
      <c r="A865" t="s">
        <v>1194</v>
      </c>
      <c r="B865" s="1">
        <v>45690</v>
      </c>
      <c r="C865" s="1" t="s">
        <v>1322</v>
      </c>
      <c r="D865" t="s">
        <v>200</v>
      </c>
      <c r="E865" t="s">
        <v>55</v>
      </c>
      <c r="F865" t="s">
        <v>22</v>
      </c>
      <c r="G865" t="s">
        <v>23</v>
      </c>
      <c r="H865" t="s">
        <v>52</v>
      </c>
      <c r="I865">
        <v>0</v>
      </c>
      <c r="J865">
        <v>0</v>
      </c>
      <c r="K865">
        <v>0</v>
      </c>
      <c r="L865">
        <v>19991</v>
      </c>
      <c r="M865">
        <v>0</v>
      </c>
      <c r="N865">
        <v>867</v>
      </c>
      <c r="O865">
        <v>27</v>
      </c>
      <c r="P865" t="s">
        <v>25</v>
      </c>
      <c r="Q865">
        <v>413247</v>
      </c>
      <c r="R865" t="s">
        <v>26</v>
      </c>
      <c r="S865" t="s">
        <v>33</v>
      </c>
      <c r="T865" t="s">
        <v>28</v>
      </c>
    </row>
    <row r="866" spans="1:20" x14ac:dyDescent="0.3">
      <c r="A866" t="s">
        <v>1195</v>
      </c>
      <c r="B866" s="1">
        <v>45924</v>
      </c>
      <c r="C866" s="1" t="s">
        <v>1329</v>
      </c>
      <c r="D866" t="s">
        <v>114</v>
      </c>
      <c r="E866" t="s">
        <v>55</v>
      </c>
      <c r="F866" t="s">
        <v>21</v>
      </c>
      <c r="G866" t="s">
        <v>23</v>
      </c>
      <c r="H866" t="s">
        <v>56</v>
      </c>
      <c r="I866">
        <v>79263</v>
      </c>
      <c r="J866">
        <v>0</v>
      </c>
      <c r="K866">
        <v>0</v>
      </c>
      <c r="L866">
        <v>0</v>
      </c>
      <c r="M866">
        <v>0</v>
      </c>
      <c r="N866">
        <v>583</v>
      </c>
      <c r="O866">
        <v>24</v>
      </c>
      <c r="P866" t="s">
        <v>32</v>
      </c>
      <c r="Q866">
        <v>2496127</v>
      </c>
      <c r="R866" t="s">
        <v>49</v>
      </c>
      <c r="S866" t="s">
        <v>27</v>
      </c>
      <c r="T866" t="s">
        <v>28</v>
      </c>
    </row>
    <row r="867" spans="1:20" x14ac:dyDescent="0.3">
      <c r="A867" t="s">
        <v>1196</v>
      </c>
      <c r="B867" s="1">
        <v>45869</v>
      </c>
      <c r="C867" s="1" t="s">
        <v>1327</v>
      </c>
      <c r="D867" t="s">
        <v>395</v>
      </c>
      <c r="E867" t="s">
        <v>37</v>
      </c>
      <c r="F867" t="s">
        <v>22</v>
      </c>
      <c r="G867" t="s">
        <v>68</v>
      </c>
      <c r="H867" t="s">
        <v>24</v>
      </c>
      <c r="I867">
        <v>0</v>
      </c>
      <c r="J867">
        <v>0</v>
      </c>
      <c r="K867">
        <v>0</v>
      </c>
      <c r="L867">
        <v>0</v>
      </c>
      <c r="M867">
        <v>4579.0200000000004</v>
      </c>
      <c r="N867">
        <v>496</v>
      </c>
      <c r="O867">
        <v>35</v>
      </c>
      <c r="P867" t="s">
        <v>32</v>
      </c>
      <c r="Q867">
        <v>1673089</v>
      </c>
      <c r="R867" t="s">
        <v>49</v>
      </c>
      <c r="S867" t="s">
        <v>27</v>
      </c>
      <c r="T867" t="s">
        <v>41</v>
      </c>
    </row>
    <row r="868" spans="1:20" x14ac:dyDescent="0.3">
      <c r="A868" t="s">
        <v>1197</v>
      </c>
      <c r="B868" s="1">
        <v>46017</v>
      </c>
      <c r="C868" s="1" t="s">
        <v>1332</v>
      </c>
      <c r="D868" t="s">
        <v>108</v>
      </c>
      <c r="E868" t="s">
        <v>48</v>
      </c>
      <c r="F868" t="s">
        <v>22</v>
      </c>
      <c r="G868" t="s">
        <v>23</v>
      </c>
      <c r="H868" t="s">
        <v>52</v>
      </c>
      <c r="I868">
        <v>0</v>
      </c>
      <c r="J868">
        <v>0</v>
      </c>
      <c r="K868">
        <v>0</v>
      </c>
      <c r="L868">
        <v>29499</v>
      </c>
      <c r="M868">
        <v>0</v>
      </c>
      <c r="N868">
        <v>302</v>
      </c>
      <c r="O868">
        <v>68</v>
      </c>
      <c r="P868" t="s">
        <v>25</v>
      </c>
      <c r="Q868">
        <v>245119</v>
      </c>
      <c r="R868" t="s">
        <v>26</v>
      </c>
      <c r="S868" t="s">
        <v>33</v>
      </c>
      <c r="T868" t="s">
        <v>45</v>
      </c>
    </row>
    <row r="869" spans="1:20" x14ac:dyDescent="0.3">
      <c r="A869" t="s">
        <v>1198</v>
      </c>
      <c r="B869" s="1">
        <v>46020</v>
      </c>
      <c r="C869" s="1" t="s">
        <v>1332</v>
      </c>
      <c r="D869" t="s">
        <v>564</v>
      </c>
      <c r="E869" t="s">
        <v>77</v>
      </c>
      <c r="F869" t="s">
        <v>64</v>
      </c>
      <c r="G869" t="s">
        <v>68</v>
      </c>
      <c r="H869" t="s">
        <v>56</v>
      </c>
      <c r="I869">
        <v>61793</v>
      </c>
      <c r="J869">
        <v>0</v>
      </c>
      <c r="K869">
        <v>0</v>
      </c>
      <c r="L869">
        <v>0</v>
      </c>
      <c r="M869">
        <v>0</v>
      </c>
      <c r="N869">
        <v>488</v>
      </c>
      <c r="O869">
        <v>37</v>
      </c>
      <c r="P869" t="s">
        <v>32</v>
      </c>
      <c r="Q869">
        <v>2344551</v>
      </c>
      <c r="R869" t="s">
        <v>26</v>
      </c>
      <c r="S869" t="s">
        <v>27</v>
      </c>
      <c r="T869" t="s">
        <v>60</v>
      </c>
    </row>
    <row r="870" spans="1:20" x14ac:dyDescent="0.3">
      <c r="A870" t="s">
        <v>1199</v>
      </c>
      <c r="B870" s="1">
        <v>45965</v>
      </c>
      <c r="C870" s="1" t="s">
        <v>1331</v>
      </c>
      <c r="D870" t="s">
        <v>161</v>
      </c>
      <c r="E870" t="s">
        <v>77</v>
      </c>
      <c r="F870" t="s">
        <v>21</v>
      </c>
      <c r="G870" t="s">
        <v>23</v>
      </c>
      <c r="H870" t="s">
        <v>31</v>
      </c>
      <c r="I870">
        <v>0</v>
      </c>
      <c r="J870">
        <v>0</v>
      </c>
      <c r="K870">
        <v>0</v>
      </c>
      <c r="L870">
        <v>0</v>
      </c>
      <c r="M870">
        <v>0</v>
      </c>
      <c r="N870">
        <v>483</v>
      </c>
      <c r="O870">
        <v>23</v>
      </c>
      <c r="P870" t="s">
        <v>32</v>
      </c>
      <c r="Q870">
        <v>2593481</v>
      </c>
      <c r="R870" t="s">
        <v>26</v>
      </c>
      <c r="S870" t="s">
        <v>65</v>
      </c>
      <c r="T870" t="s">
        <v>34</v>
      </c>
    </row>
    <row r="871" spans="1:20" x14ac:dyDescent="0.3">
      <c r="A871" t="s">
        <v>1200</v>
      </c>
      <c r="B871" s="1">
        <v>45710</v>
      </c>
      <c r="C871" s="1" t="s">
        <v>1322</v>
      </c>
      <c r="D871" t="s">
        <v>198</v>
      </c>
      <c r="E871" t="s">
        <v>77</v>
      </c>
      <c r="F871" t="s">
        <v>22</v>
      </c>
      <c r="G871" t="s">
        <v>23</v>
      </c>
      <c r="H871" t="s">
        <v>31</v>
      </c>
      <c r="I871">
        <v>0</v>
      </c>
      <c r="J871">
        <v>0</v>
      </c>
      <c r="K871">
        <v>399634</v>
      </c>
      <c r="L871">
        <v>0</v>
      </c>
      <c r="M871">
        <v>0</v>
      </c>
      <c r="N871">
        <v>514</v>
      </c>
      <c r="O871">
        <v>56</v>
      </c>
      <c r="P871" t="s">
        <v>25</v>
      </c>
      <c r="Q871">
        <v>986937</v>
      </c>
      <c r="R871" t="s">
        <v>26</v>
      </c>
      <c r="S871" t="s">
        <v>65</v>
      </c>
      <c r="T871" t="s">
        <v>34</v>
      </c>
    </row>
    <row r="872" spans="1:20" x14ac:dyDescent="0.3">
      <c r="A872" t="s">
        <v>1201</v>
      </c>
      <c r="B872" s="1">
        <v>45905</v>
      </c>
      <c r="C872" s="1" t="s">
        <v>1329</v>
      </c>
      <c r="D872" t="s">
        <v>207</v>
      </c>
      <c r="E872" t="s">
        <v>55</v>
      </c>
      <c r="F872" t="s">
        <v>21</v>
      </c>
      <c r="G872" t="s">
        <v>23</v>
      </c>
      <c r="H872" t="s">
        <v>40</v>
      </c>
      <c r="I872">
        <v>0</v>
      </c>
      <c r="J872">
        <v>79430</v>
      </c>
      <c r="K872">
        <v>0</v>
      </c>
      <c r="L872">
        <v>0</v>
      </c>
      <c r="M872">
        <v>0</v>
      </c>
      <c r="N872">
        <v>351</v>
      </c>
      <c r="O872">
        <v>61</v>
      </c>
      <c r="P872" t="s">
        <v>25</v>
      </c>
      <c r="Q872">
        <v>2951719</v>
      </c>
      <c r="R872" t="s">
        <v>26</v>
      </c>
      <c r="S872" t="s">
        <v>27</v>
      </c>
      <c r="T872" t="s">
        <v>41</v>
      </c>
    </row>
    <row r="873" spans="1:20" x14ac:dyDescent="0.3">
      <c r="A873" t="s">
        <v>1202</v>
      </c>
      <c r="B873" s="1">
        <v>45869</v>
      </c>
      <c r="C873" s="1" t="s">
        <v>1327</v>
      </c>
      <c r="D873" t="s">
        <v>249</v>
      </c>
      <c r="E873" t="s">
        <v>55</v>
      </c>
      <c r="F873" t="s">
        <v>22</v>
      </c>
      <c r="G873" t="s">
        <v>39</v>
      </c>
      <c r="H873" t="s">
        <v>56</v>
      </c>
      <c r="I873">
        <v>42679</v>
      </c>
      <c r="J873">
        <v>0</v>
      </c>
      <c r="K873">
        <v>0</v>
      </c>
      <c r="L873">
        <v>0</v>
      </c>
      <c r="M873">
        <v>0</v>
      </c>
      <c r="N873">
        <v>552</v>
      </c>
      <c r="O873">
        <v>41</v>
      </c>
      <c r="P873" t="s">
        <v>32</v>
      </c>
      <c r="Q873">
        <v>2631111</v>
      </c>
      <c r="R873" t="s">
        <v>26</v>
      </c>
      <c r="S873" t="s">
        <v>27</v>
      </c>
      <c r="T873" t="s">
        <v>34</v>
      </c>
    </row>
    <row r="874" spans="1:20" x14ac:dyDescent="0.3">
      <c r="A874" t="s">
        <v>1203</v>
      </c>
      <c r="B874" s="1">
        <v>45845</v>
      </c>
      <c r="C874" s="1" t="s">
        <v>1327</v>
      </c>
      <c r="D874" t="s">
        <v>324</v>
      </c>
      <c r="E874" t="s">
        <v>55</v>
      </c>
      <c r="F874" t="s">
        <v>64</v>
      </c>
      <c r="G874" t="s">
        <v>59</v>
      </c>
      <c r="H874" t="s">
        <v>52</v>
      </c>
      <c r="I874">
        <v>0</v>
      </c>
      <c r="J874">
        <v>0</v>
      </c>
      <c r="K874">
        <v>0</v>
      </c>
      <c r="L874">
        <v>43471</v>
      </c>
      <c r="M874">
        <v>0</v>
      </c>
      <c r="N874">
        <v>319</v>
      </c>
      <c r="O874">
        <v>18</v>
      </c>
      <c r="P874" t="s">
        <v>25</v>
      </c>
      <c r="Q874">
        <v>2215204</v>
      </c>
      <c r="R874" t="s">
        <v>26</v>
      </c>
      <c r="S874" t="s">
        <v>74</v>
      </c>
      <c r="T874" t="s">
        <v>60</v>
      </c>
    </row>
    <row r="875" spans="1:20" x14ac:dyDescent="0.3">
      <c r="A875" t="s">
        <v>1204</v>
      </c>
      <c r="B875" s="1">
        <v>45766</v>
      </c>
      <c r="C875" s="1" t="s">
        <v>1324</v>
      </c>
      <c r="D875" t="s">
        <v>183</v>
      </c>
      <c r="E875" t="s">
        <v>21</v>
      </c>
      <c r="F875" t="s">
        <v>44</v>
      </c>
      <c r="G875" t="s">
        <v>59</v>
      </c>
      <c r="H875" t="s">
        <v>24</v>
      </c>
      <c r="I875">
        <v>0</v>
      </c>
      <c r="J875">
        <v>0</v>
      </c>
      <c r="K875">
        <v>0</v>
      </c>
      <c r="L875">
        <v>0</v>
      </c>
      <c r="M875">
        <v>7976.71</v>
      </c>
      <c r="N875">
        <v>684</v>
      </c>
      <c r="O875">
        <v>19</v>
      </c>
      <c r="P875" t="s">
        <v>32</v>
      </c>
      <c r="Q875">
        <v>1493815</v>
      </c>
      <c r="R875" t="s">
        <v>26</v>
      </c>
      <c r="S875" t="s">
        <v>27</v>
      </c>
      <c r="T875" t="s">
        <v>45</v>
      </c>
    </row>
    <row r="876" spans="1:20" x14ac:dyDescent="0.3">
      <c r="A876" t="s">
        <v>1205</v>
      </c>
      <c r="B876" s="1">
        <v>45766</v>
      </c>
      <c r="C876" s="1" t="s">
        <v>1324</v>
      </c>
      <c r="D876" t="s">
        <v>818</v>
      </c>
      <c r="E876" t="s">
        <v>21</v>
      </c>
      <c r="F876" t="s">
        <v>21</v>
      </c>
      <c r="G876" t="s">
        <v>23</v>
      </c>
      <c r="H876" t="s">
        <v>40</v>
      </c>
      <c r="I876">
        <v>0</v>
      </c>
      <c r="J876">
        <v>76299</v>
      </c>
      <c r="K876">
        <v>0</v>
      </c>
      <c r="L876">
        <v>0</v>
      </c>
      <c r="M876">
        <v>0</v>
      </c>
      <c r="N876">
        <v>809</v>
      </c>
      <c r="O876">
        <v>18</v>
      </c>
      <c r="P876" t="s">
        <v>32</v>
      </c>
      <c r="Q876">
        <v>1879082</v>
      </c>
      <c r="R876" t="s">
        <v>49</v>
      </c>
      <c r="S876" t="s">
        <v>27</v>
      </c>
      <c r="T876" t="s">
        <v>60</v>
      </c>
    </row>
    <row r="877" spans="1:20" x14ac:dyDescent="0.3">
      <c r="A877" t="s">
        <v>1206</v>
      </c>
      <c r="B877" s="1">
        <v>45882</v>
      </c>
      <c r="C877" s="1" t="s">
        <v>1328</v>
      </c>
      <c r="D877" t="s">
        <v>438</v>
      </c>
      <c r="E877" t="s">
        <v>55</v>
      </c>
      <c r="F877" t="s">
        <v>22</v>
      </c>
      <c r="G877" t="s">
        <v>23</v>
      </c>
      <c r="H877" t="s">
        <v>24</v>
      </c>
      <c r="I877">
        <v>0</v>
      </c>
      <c r="J877">
        <v>0</v>
      </c>
      <c r="K877">
        <v>0</v>
      </c>
      <c r="L877">
        <v>0</v>
      </c>
      <c r="M877">
        <v>6547.7</v>
      </c>
      <c r="N877">
        <v>812</v>
      </c>
      <c r="O877">
        <v>19</v>
      </c>
      <c r="P877" t="s">
        <v>32</v>
      </c>
      <c r="Q877">
        <v>1909274</v>
      </c>
      <c r="R877" t="s">
        <v>26</v>
      </c>
      <c r="S877" t="s">
        <v>27</v>
      </c>
      <c r="T877" t="s">
        <v>45</v>
      </c>
    </row>
    <row r="878" spans="1:20" x14ac:dyDescent="0.3">
      <c r="A878" t="s">
        <v>1207</v>
      </c>
      <c r="B878" s="1">
        <v>45774</v>
      </c>
      <c r="C878" s="1" t="s">
        <v>1324</v>
      </c>
      <c r="D878" t="s">
        <v>183</v>
      </c>
      <c r="E878" t="s">
        <v>63</v>
      </c>
      <c r="F878" t="s">
        <v>38</v>
      </c>
      <c r="G878" t="s">
        <v>68</v>
      </c>
      <c r="H878" t="s">
        <v>31</v>
      </c>
      <c r="I878">
        <v>0</v>
      </c>
      <c r="J878">
        <v>0</v>
      </c>
      <c r="K878">
        <v>1201747</v>
      </c>
      <c r="L878">
        <v>0</v>
      </c>
      <c r="M878">
        <v>0</v>
      </c>
      <c r="N878">
        <v>866</v>
      </c>
      <c r="O878">
        <v>59</v>
      </c>
      <c r="P878" t="s">
        <v>32</v>
      </c>
      <c r="Q878">
        <v>992472</v>
      </c>
      <c r="R878" t="s">
        <v>26</v>
      </c>
      <c r="S878" t="s">
        <v>65</v>
      </c>
      <c r="T878" t="s">
        <v>28</v>
      </c>
    </row>
    <row r="879" spans="1:20" x14ac:dyDescent="0.3">
      <c r="A879" t="s">
        <v>1208</v>
      </c>
      <c r="B879" s="1">
        <v>46003</v>
      </c>
      <c r="C879" s="1" t="s">
        <v>1332</v>
      </c>
      <c r="D879" t="s">
        <v>509</v>
      </c>
      <c r="E879" t="s">
        <v>77</v>
      </c>
      <c r="F879" t="s">
        <v>44</v>
      </c>
      <c r="G879" t="s">
        <v>59</v>
      </c>
      <c r="H879" t="s">
        <v>56</v>
      </c>
      <c r="I879">
        <v>46639</v>
      </c>
      <c r="J879">
        <v>0</v>
      </c>
      <c r="K879">
        <v>0</v>
      </c>
      <c r="L879">
        <v>0</v>
      </c>
      <c r="M879">
        <v>0</v>
      </c>
      <c r="N879">
        <v>609</v>
      </c>
      <c r="O879">
        <v>40</v>
      </c>
      <c r="P879" t="s">
        <v>25</v>
      </c>
      <c r="Q879">
        <v>2855473</v>
      </c>
      <c r="R879" t="s">
        <v>49</v>
      </c>
      <c r="S879" t="s">
        <v>27</v>
      </c>
      <c r="T879" t="s">
        <v>45</v>
      </c>
    </row>
    <row r="880" spans="1:20" x14ac:dyDescent="0.3">
      <c r="A880" t="s">
        <v>1209</v>
      </c>
      <c r="B880" s="1">
        <v>45794</v>
      </c>
      <c r="C880" s="1" t="s">
        <v>1325</v>
      </c>
      <c r="D880" t="s">
        <v>521</v>
      </c>
      <c r="E880" t="s">
        <v>55</v>
      </c>
      <c r="F880" t="s">
        <v>21</v>
      </c>
      <c r="G880" t="s">
        <v>23</v>
      </c>
      <c r="H880" t="s">
        <v>52</v>
      </c>
      <c r="I880">
        <v>0</v>
      </c>
      <c r="J880">
        <v>0</v>
      </c>
      <c r="K880">
        <v>0</v>
      </c>
      <c r="L880">
        <v>3972</v>
      </c>
      <c r="M880">
        <v>0</v>
      </c>
      <c r="N880">
        <v>693</v>
      </c>
      <c r="O880">
        <v>29</v>
      </c>
      <c r="P880" t="s">
        <v>32</v>
      </c>
      <c r="Q880">
        <v>616207</v>
      </c>
      <c r="R880" t="s">
        <v>49</v>
      </c>
      <c r="S880" t="s">
        <v>74</v>
      </c>
      <c r="T880" t="s">
        <v>60</v>
      </c>
    </row>
    <row r="881" spans="1:20" x14ac:dyDescent="0.3">
      <c r="A881" t="s">
        <v>1210</v>
      </c>
      <c r="B881" s="1">
        <v>45741</v>
      </c>
      <c r="C881" s="1" t="s">
        <v>1323</v>
      </c>
      <c r="D881" t="s">
        <v>152</v>
      </c>
      <c r="E881" t="s">
        <v>77</v>
      </c>
      <c r="F881" t="s">
        <v>38</v>
      </c>
      <c r="G881" t="s">
        <v>39</v>
      </c>
      <c r="H881" t="s">
        <v>40</v>
      </c>
      <c r="I881">
        <v>0</v>
      </c>
      <c r="J881">
        <v>3868</v>
      </c>
      <c r="K881">
        <v>0</v>
      </c>
      <c r="L881">
        <v>0</v>
      </c>
      <c r="M881">
        <v>0</v>
      </c>
      <c r="N881">
        <v>491</v>
      </c>
      <c r="O881">
        <v>43</v>
      </c>
      <c r="P881" t="s">
        <v>25</v>
      </c>
      <c r="Q881">
        <v>339588</v>
      </c>
      <c r="R881" t="s">
        <v>49</v>
      </c>
      <c r="S881" t="s">
        <v>27</v>
      </c>
      <c r="T881" t="s">
        <v>41</v>
      </c>
    </row>
    <row r="882" spans="1:20" x14ac:dyDescent="0.3">
      <c r="A882" t="s">
        <v>1211</v>
      </c>
      <c r="B882" s="1">
        <v>45663</v>
      </c>
      <c r="C882" s="1" t="s">
        <v>1321</v>
      </c>
      <c r="D882" t="s">
        <v>247</v>
      </c>
      <c r="E882" t="s">
        <v>37</v>
      </c>
      <c r="F882" t="s">
        <v>44</v>
      </c>
      <c r="G882" t="s">
        <v>59</v>
      </c>
      <c r="H882" t="s">
        <v>31</v>
      </c>
      <c r="I882">
        <v>0</v>
      </c>
      <c r="J882">
        <v>0</v>
      </c>
      <c r="K882">
        <v>881776</v>
      </c>
      <c r="L882">
        <v>0</v>
      </c>
      <c r="M882">
        <v>0</v>
      </c>
      <c r="N882">
        <v>589</v>
      </c>
      <c r="O882">
        <v>47</v>
      </c>
      <c r="P882" t="s">
        <v>25</v>
      </c>
      <c r="Q882">
        <v>314092</v>
      </c>
      <c r="R882" t="s">
        <v>26</v>
      </c>
      <c r="S882" t="s">
        <v>65</v>
      </c>
      <c r="T882" t="s">
        <v>45</v>
      </c>
    </row>
    <row r="883" spans="1:20" x14ac:dyDescent="0.3">
      <c r="A883" t="s">
        <v>1212</v>
      </c>
      <c r="B883" s="1">
        <v>45793</v>
      </c>
      <c r="C883" s="1" t="s">
        <v>1325</v>
      </c>
      <c r="D883" t="s">
        <v>126</v>
      </c>
      <c r="E883" t="s">
        <v>55</v>
      </c>
      <c r="F883" t="s">
        <v>64</v>
      </c>
      <c r="G883" t="s">
        <v>59</v>
      </c>
      <c r="H883" t="s">
        <v>56</v>
      </c>
      <c r="I883">
        <v>145870</v>
      </c>
      <c r="J883">
        <v>0</v>
      </c>
      <c r="K883">
        <v>0</v>
      </c>
      <c r="L883">
        <v>0</v>
      </c>
      <c r="M883">
        <v>0</v>
      </c>
      <c r="N883">
        <v>489</v>
      </c>
      <c r="O883">
        <v>29</v>
      </c>
      <c r="P883" t="s">
        <v>25</v>
      </c>
      <c r="Q883">
        <v>2258429</v>
      </c>
      <c r="R883" t="s">
        <v>26</v>
      </c>
      <c r="S883" t="s">
        <v>27</v>
      </c>
      <c r="T883" t="s">
        <v>45</v>
      </c>
    </row>
    <row r="884" spans="1:20" x14ac:dyDescent="0.3">
      <c r="A884" t="s">
        <v>1213</v>
      </c>
      <c r="B884" s="1">
        <v>45884</v>
      </c>
      <c r="C884" s="1" t="s">
        <v>1328</v>
      </c>
      <c r="D884" t="s">
        <v>315</v>
      </c>
      <c r="E884" t="s">
        <v>37</v>
      </c>
      <c r="F884" t="s">
        <v>21</v>
      </c>
      <c r="G884" t="s">
        <v>23</v>
      </c>
      <c r="H884" t="s">
        <v>40</v>
      </c>
      <c r="I884">
        <v>0</v>
      </c>
      <c r="J884">
        <v>70860</v>
      </c>
      <c r="K884">
        <v>0</v>
      </c>
      <c r="L884">
        <v>0</v>
      </c>
      <c r="M884">
        <v>0</v>
      </c>
      <c r="N884">
        <v>573</v>
      </c>
      <c r="O884">
        <v>41</v>
      </c>
      <c r="P884" t="s">
        <v>25</v>
      </c>
      <c r="Q884">
        <v>1005215</v>
      </c>
      <c r="R884" t="s">
        <v>49</v>
      </c>
      <c r="S884" t="s">
        <v>27</v>
      </c>
      <c r="T884" t="s">
        <v>60</v>
      </c>
    </row>
    <row r="885" spans="1:20" x14ac:dyDescent="0.3">
      <c r="A885" t="s">
        <v>1214</v>
      </c>
      <c r="B885" s="1">
        <v>45957</v>
      </c>
      <c r="C885" s="1" t="s">
        <v>1330</v>
      </c>
      <c r="D885" t="s">
        <v>416</v>
      </c>
      <c r="E885" t="s">
        <v>63</v>
      </c>
      <c r="F885" t="s">
        <v>44</v>
      </c>
      <c r="G885" t="s">
        <v>59</v>
      </c>
      <c r="H885" t="s">
        <v>56</v>
      </c>
      <c r="I885">
        <v>67753</v>
      </c>
      <c r="J885">
        <v>0</v>
      </c>
      <c r="K885">
        <v>0</v>
      </c>
      <c r="L885">
        <v>0</v>
      </c>
      <c r="M885">
        <v>0</v>
      </c>
      <c r="N885">
        <v>685</v>
      </c>
      <c r="O885">
        <v>29</v>
      </c>
      <c r="P885" t="s">
        <v>25</v>
      </c>
      <c r="Q885">
        <v>2466336</v>
      </c>
      <c r="R885" t="s">
        <v>49</v>
      </c>
      <c r="S885" t="s">
        <v>27</v>
      </c>
      <c r="T885" t="s">
        <v>34</v>
      </c>
    </row>
    <row r="886" spans="1:20" x14ac:dyDescent="0.3">
      <c r="A886" t="s">
        <v>1215</v>
      </c>
      <c r="B886" s="1">
        <v>45667</v>
      </c>
      <c r="C886" s="1" t="s">
        <v>1321</v>
      </c>
      <c r="D886" t="s">
        <v>169</v>
      </c>
      <c r="E886" t="s">
        <v>55</v>
      </c>
      <c r="F886" t="s">
        <v>38</v>
      </c>
      <c r="G886" t="s">
        <v>23</v>
      </c>
      <c r="H886" t="s">
        <v>52</v>
      </c>
      <c r="I886">
        <v>0</v>
      </c>
      <c r="J886">
        <v>0</v>
      </c>
      <c r="K886">
        <v>0</v>
      </c>
      <c r="L886">
        <v>12214</v>
      </c>
      <c r="M886">
        <v>0</v>
      </c>
      <c r="N886">
        <v>838</v>
      </c>
      <c r="O886">
        <v>39</v>
      </c>
      <c r="P886" t="s">
        <v>32</v>
      </c>
      <c r="Q886">
        <v>1799386</v>
      </c>
      <c r="R886" t="s">
        <v>49</v>
      </c>
      <c r="S886" t="s">
        <v>74</v>
      </c>
      <c r="T886" t="s">
        <v>34</v>
      </c>
    </row>
    <row r="887" spans="1:20" x14ac:dyDescent="0.3">
      <c r="A887" t="s">
        <v>1216</v>
      </c>
      <c r="B887" s="1">
        <v>45979</v>
      </c>
      <c r="C887" s="1" t="s">
        <v>1331</v>
      </c>
      <c r="D887" t="s">
        <v>846</v>
      </c>
      <c r="E887" t="s">
        <v>77</v>
      </c>
      <c r="F887" t="s">
        <v>64</v>
      </c>
      <c r="G887" t="s">
        <v>23</v>
      </c>
      <c r="H887" t="s">
        <v>40</v>
      </c>
      <c r="I887">
        <v>0</v>
      </c>
      <c r="J887">
        <v>51002</v>
      </c>
      <c r="K887">
        <v>0</v>
      </c>
      <c r="L887">
        <v>0</v>
      </c>
      <c r="M887">
        <v>0</v>
      </c>
      <c r="N887">
        <v>630</v>
      </c>
      <c r="O887">
        <v>43</v>
      </c>
      <c r="P887" t="s">
        <v>25</v>
      </c>
      <c r="Q887">
        <v>2684994</v>
      </c>
      <c r="R887" t="s">
        <v>26</v>
      </c>
      <c r="S887" t="s">
        <v>27</v>
      </c>
      <c r="T887" t="s">
        <v>41</v>
      </c>
    </row>
    <row r="888" spans="1:20" x14ac:dyDescent="0.3">
      <c r="A888" t="s">
        <v>1217</v>
      </c>
      <c r="B888" s="1">
        <v>46005</v>
      </c>
      <c r="C888" s="1" t="s">
        <v>1332</v>
      </c>
      <c r="D888" t="s">
        <v>1218</v>
      </c>
      <c r="E888" t="s">
        <v>77</v>
      </c>
      <c r="F888" t="s">
        <v>22</v>
      </c>
      <c r="G888" t="s">
        <v>59</v>
      </c>
      <c r="H888" t="s">
        <v>31</v>
      </c>
      <c r="I888">
        <v>0</v>
      </c>
      <c r="J888">
        <v>0</v>
      </c>
      <c r="K888">
        <v>1953148</v>
      </c>
      <c r="L888">
        <v>0</v>
      </c>
      <c r="M888">
        <v>0</v>
      </c>
      <c r="N888">
        <v>573</v>
      </c>
      <c r="O888">
        <v>48</v>
      </c>
      <c r="P888" t="s">
        <v>32</v>
      </c>
      <c r="Q888">
        <v>2455892</v>
      </c>
      <c r="R888" t="s">
        <v>26</v>
      </c>
      <c r="S888" t="s">
        <v>33</v>
      </c>
      <c r="T888" t="s">
        <v>45</v>
      </c>
    </row>
    <row r="889" spans="1:20" x14ac:dyDescent="0.3">
      <c r="A889" t="s">
        <v>1219</v>
      </c>
      <c r="B889" s="1">
        <v>45971</v>
      </c>
      <c r="C889" s="1" t="s">
        <v>1331</v>
      </c>
      <c r="D889" t="s">
        <v>801</v>
      </c>
      <c r="E889" t="s">
        <v>37</v>
      </c>
      <c r="F889" t="s">
        <v>44</v>
      </c>
      <c r="G889" t="s">
        <v>23</v>
      </c>
      <c r="H889" t="s">
        <v>24</v>
      </c>
      <c r="I889">
        <v>0</v>
      </c>
      <c r="J889">
        <v>0</v>
      </c>
      <c r="K889">
        <v>0</v>
      </c>
      <c r="L889">
        <v>0</v>
      </c>
      <c r="M889">
        <v>1830.95</v>
      </c>
      <c r="N889">
        <v>696</v>
      </c>
      <c r="O889">
        <v>39</v>
      </c>
      <c r="P889" t="s">
        <v>32</v>
      </c>
      <c r="Q889">
        <v>1990268</v>
      </c>
      <c r="R889" t="s">
        <v>26</v>
      </c>
      <c r="S889" t="s">
        <v>27</v>
      </c>
      <c r="T889" t="s">
        <v>41</v>
      </c>
    </row>
    <row r="890" spans="1:20" x14ac:dyDescent="0.3">
      <c r="A890" t="s">
        <v>1220</v>
      </c>
      <c r="B890" s="1">
        <v>45836</v>
      </c>
      <c r="C890" s="1" t="s">
        <v>1326</v>
      </c>
      <c r="D890" t="s">
        <v>47</v>
      </c>
      <c r="E890" t="s">
        <v>63</v>
      </c>
      <c r="F890" t="s">
        <v>21</v>
      </c>
      <c r="G890" t="s">
        <v>59</v>
      </c>
      <c r="H890" t="s">
        <v>31</v>
      </c>
      <c r="I890">
        <v>0</v>
      </c>
      <c r="J890">
        <v>0</v>
      </c>
      <c r="K890">
        <v>1799507</v>
      </c>
      <c r="L890">
        <v>0</v>
      </c>
      <c r="M890">
        <v>0</v>
      </c>
      <c r="N890">
        <v>316</v>
      </c>
      <c r="O890">
        <v>31</v>
      </c>
      <c r="P890" t="s">
        <v>32</v>
      </c>
      <c r="Q890">
        <v>1044526</v>
      </c>
      <c r="R890" t="s">
        <v>26</v>
      </c>
      <c r="S890" t="s">
        <v>65</v>
      </c>
      <c r="T890" t="s">
        <v>45</v>
      </c>
    </row>
    <row r="891" spans="1:20" x14ac:dyDescent="0.3">
      <c r="A891" t="s">
        <v>1221</v>
      </c>
      <c r="B891" s="1">
        <v>45788</v>
      </c>
      <c r="C891" s="1" t="s">
        <v>1325</v>
      </c>
      <c r="D891" t="s">
        <v>493</v>
      </c>
      <c r="E891" t="s">
        <v>77</v>
      </c>
      <c r="F891" t="s">
        <v>21</v>
      </c>
      <c r="G891" t="s">
        <v>39</v>
      </c>
      <c r="H891" t="s">
        <v>56</v>
      </c>
      <c r="I891">
        <v>17471</v>
      </c>
      <c r="J891">
        <v>0</v>
      </c>
      <c r="K891">
        <v>0</v>
      </c>
      <c r="L891">
        <v>0</v>
      </c>
      <c r="M891">
        <v>0</v>
      </c>
      <c r="N891">
        <v>427</v>
      </c>
      <c r="O891">
        <v>63</v>
      </c>
      <c r="P891" t="s">
        <v>32</v>
      </c>
      <c r="Q891">
        <v>1249462</v>
      </c>
      <c r="R891" t="s">
        <v>49</v>
      </c>
      <c r="S891" t="s">
        <v>27</v>
      </c>
      <c r="T891" t="s">
        <v>41</v>
      </c>
    </row>
    <row r="892" spans="1:20" x14ac:dyDescent="0.3">
      <c r="A892" t="s">
        <v>1222</v>
      </c>
      <c r="B892" s="1">
        <v>45901</v>
      </c>
      <c r="C892" s="1" t="s">
        <v>1329</v>
      </c>
      <c r="D892" t="s">
        <v>1058</v>
      </c>
      <c r="E892" t="s">
        <v>48</v>
      </c>
      <c r="F892" t="s">
        <v>64</v>
      </c>
      <c r="G892" t="s">
        <v>59</v>
      </c>
      <c r="H892" t="s">
        <v>52</v>
      </c>
      <c r="I892">
        <v>0</v>
      </c>
      <c r="J892">
        <v>0</v>
      </c>
      <c r="K892">
        <v>0</v>
      </c>
      <c r="L892">
        <v>22338</v>
      </c>
      <c r="M892">
        <v>0</v>
      </c>
      <c r="N892">
        <v>347</v>
      </c>
      <c r="O892">
        <v>37</v>
      </c>
      <c r="P892" t="s">
        <v>25</v>
      </c>
      <c r="Q892">
        <v>1684553</v>
      </c>
      <c r="R892" t="s">
        <v>26</v>
      </c>
      <c r="S892" t="s">
        <v>74</v>
      </c>
      <c r="T892" t="s">
        <v>34</v>
      </c>
    </row>
    <row r="893" spans="1:20" x14ac:dyDescent="0.3">
      <c r="A893" t="s">
        <v>1223</v>
      </c>
      <c r="B893" s="1">
        <v>46003</v>
      </c>
      <c r="C893" s="1" t="s">
        <v>1332</v>
      </c>
      <c r="D893" t="s">
        <v>1187</v>
      </c>
      <c r="E893" t="s">
        <v>55</v>
      </c>
      <c r="F893" t="s">
        <v>22</v>
      </c>
      <c r="G893" t="s">
        <v>23</v>
      </c>
      <c r="H893" t="s">
        <v>40</v>
      </c>
      <c r="I893">
        <v>0</v>
      </c>
      <c r="J893">
        <v>27328</v>
      </c>
      <c r="K893">
        <v>0</v>
      </c>
      <c r="L893">
        <v>0</v>
      </c>
      <c r="M893">
        <v>0</v>
      </c>
      <c r="N893">
        <v>546</v>
      </c>
      <c r="O893">
        <v>68</v>
      </c>
      <c r="P893" t="s">
        <v>25</v>
      </c>
      <c r="Q893">
        <v>428058</v>
      </c>
      <c r="R893" t="s">
        <v>49</v>
      </c>
      <c r="S893" t="s">
        <v>27</v>
      </c>
      <c r="T893" t="s">
        <v>34</v>
      </c>
    </row>
    <row r="894" spans="1:20" x14ac:dyDescent="0.3">
      <c r="A894" t="s">
        <v>1224</v>
      </c>
      <c r="B894" s="1">
        <v>45736</v>
      </c>
      <c r="C894" s="1" t="s">
        <v>1323</v>
      </c>
      <c r="D894" t="s">
        <v>276</v>
      </c>
      <c r="E894" t="s">
        <v>37</v>
      </c>
      <c r="F894" t="s">
        <v>44</v>
      </c>
      <c r="G894" t="s">
        <v>68</v>
      </c>
      <c r="H894" t="s">
        <v>56</v>
      </c>
      <c r="I894">
        <v>191099</v>
      </c>
      <c r="J894">
        <v>0</v>
      </c>
      <c r="K894">
        <v>0</v>
      </c>
      <c r="L894">
        <v>0</v>
      </c>
      <c r="M894">
        <v>0</v>
      </c>
      <c r="N894">
        <v>332</v>
      </c>
      <c r="O894">
        <v>56</v>
      </c>
      <c r="P894" t="s">
        <v>25</v>
      </c>
      <c r="Q894">
        <v>1467398</v>
      </c>
      <c r="R894" t="s">
        <v>26</v>
      </c>
      <c r="S894" t="s">
        <v>27</v>
      </c>
      <c r="T894" t="s">
        <v>34</v>
      </c>
    </row>
    <row r="895" spans="1:20" x14ac:dyDescent="0.3">
      <c r="A895" t="s">
        <v>1225</v>
      </c>
      <c r="B895" s="1">
        <v>45891</v>
      </c>
      <c r="C895" s="1" t="s">
        <v>1328</v>
      </c>
      <c r="D895" t="s">
        <v>198</v>
      </c>
      <c r="E895" t="s">
        <v>55</v>
      </c>
      <c r="F895" t="s">
        <v>64</v>
      </c>
      <c r="G895" t="s">
        <v>23</v>
      </c>
      <c r="H895" t="s">
        <v>40</v>
      </c>
      <c r="I895">
        <v>0</v>
      </c>
      <c r="J895">
        <v>51037</v>
      </c>
      <c r="K895">
        <v>0</v>
      </c>
      <c r="L895">
        <v>0</v>
      </c>
      <c r="M895">
        <v>0</v>
      </c>
      <c r="N895">
        <v>551</v>
      </c>
      <c r="O895">
        <v>37</v>
      </c>
      <c r="P895" t="s">
        <v>25</v>
      </c>
      <c r="Q895">
        <v>1382437</v>
      </c>
      <c r="R895" t="s">
        <v>26</v>
      </c>
      <c r="S895" t="s">
        <v>27</v>
      </c>
      <c r="T895" t="s">
        <v>45</v>
      </c>
    </row>
    <row r="896" spans="1:20" x14ac:dyDescent="0.3">
      <c r="A896" t="s">
        <v>1226</v>
      </c>
      <c r="B896" s="1">
        <v>45791</v>
      </c>
      <c r="C896" s="1" t="s">
        <v>1325</v>
      </c>
      <c r="D896" t="s">
        <v>846</v>
      </c>
      <c r="E896" t="s">
        <v>48</v>
      </c>
      <c r="F896" t="s">
        <v>44</v>
      </c>
      <c r="G896" t="s">
        <v>23</v>
      </c>
      <c r="H896" t="s">
        <v>56</v>
      </c>
      <c r="I896">
        <v>109461</v>
      </c>
      <c r="J896">
        <v>0</v>
      </c>
      <c r="K896">
        <v>0</v>
      </c>
      <c r="L896">
        <v>0</v>
      </c>
      <c r="M896">
        <v>0</v>
      </c>
      <c r="N896">
        <v>505</v>
      </c>
      <c r="O896">
        <v>46</v>
      </c>
      <c r="P896" t="s">
        <v>25</v>
      </c>
      <c r="Q896">
        <v>2249271</v>
      </c>
      <c r="R896" t="s">
        <v>49</v>
      </c>
      <c r="S896" t="s">
        <v>27</v>
      </c>
      <c r="T896" t="s">
        <v>45</v>
      </c>
    </row>
    <row r="897" spans="1:20" x14ac:dyDescent="0.3">
      <c r="A897" t="s">
        <v>1227</v>
      </c>
      <c r="B897" s="1">
        <v>45892</v>
      </c>
      <c r="C897" s="1" t="s">
        <v>1328</v>
      </c>
      <c r="D897" t="s">
        <v>134</v>
      </c>
      <c r="E897" t="s">
        <v>77</v>
      </c>
      <c r="F897" t="s">
        <v>64</v>
      </c>
      <c r="G897" t="s">
        <v>68</v>
      </c>
      <c r="H897" t="s">
        <v>52</v>
      </c>
      <c r="I897">
        <v>0</v>
      </c>
      <c r="J897">
        <v>0</v>
      </c>
      <c r="K897">
        <v>0</v>
      </c>
      <c r="L897">
        <v>30589</v>
      </c>
      <c r="M897">
        <v>0</v>
      </c>
      <c r="N897">
        <v>828</v>
      </c>
      <c r="O897">
        <v>55</v>
      </c>
      <c r="P897" t="s">
        <v>32</v>
      </c>
      <c r="Q897">
        <v>626543</v>
      </c>
      <c r="R897" t="s">
        <v>26</v>
      </c>
      <c r="S897" t="s">
        <v>33</v>
      </c>
      <c r="T897" t="s">
        <v>41</v>
      </c>
    </row>
    <row r="898" spans="1:20" x14ac:dyDescent="0.3">
      <c r="A898" t="s">
        <v>1228</v>
      </c>
      <c r="B898" s="1">
        <v>45700</v>
      </c>
      <c r="C898" s="1" t="s">
        <v>1322</v>
      </c>
      <c r="D898" t="s">
        <v>116</v>
      </c>
      <c r="E898" t="s">
        <v>77</v>
      </c>
      <c r="F898" t="s">
        <v>21</v>
      </c>
      <c r="G898" t="s">
        <v>59</v>
      </c>
      <c r="H898" t="s">
        <v>40</v>
      </c>
      <c r="I898">
        <v>0</v>
      </c>
      <c r="J898">
        <v>5204</v>
      </c>
      <c r="K898">
        <v>0</v>
      </c>
      <c r="L898">
        <v>0</v>
      </c>
      <c r="M898">
        <v>0</v>
      </c>
      <c r="N898">
        <v>469</v>
      </c>
      <c r="O898">
        <v>19</v>
      </c>
      <c r="P898" t="s">
        <v>32</v>
      </c>
      <c r="Q898">
        <v>233907</v>
      </c>
      <c r="R898" t="s">
        <v>49</v>
      </c>
      <c r="S898" t="s">
        <v>27</v>
      </c>
      <c r="T898" t="s">
        <v>28</v>
      </c>
    </row>
    <row r="899" spans="1:20" x14ac:dyDescent="0.3">
      <c r="A899" t="s">
        <v>1229</v>
      </c>
      <c r="B899" s="1">
        <v>45872</v>
      </c>
      <c r="C899" s="1" t="s">
        <v>1328</v>
      </c>
      <c r="D899" t="s">
        <v>452</v>
      </c>
      <c r="E899" t="s">
        <v>77</v>
      </c>
      <c r="F899" t="s">
        <v>64</v>
      </c>
      <c r="G899" t="s">
        <v>39</v>
      </c>
      <c r="H899" t="s">
        <v>52</v>
      </c>
      <c r="I899">
        <v>0</v>
      </c>
      <c r="J899">
        <v>0</v>
      </c>
      <c r="K899">
        <v>0</v>
      </c>
      <c r="L899">
        <v>15217</v>
      </c>
      <c r="M899">
        <v>0</v>
      </c>
      <c r="N899">
        <v>669</v>
      </c>
      <c r="O899">
        <v>60</v>
      </c>
      <c r="P899" t="s">
        <v>32</v>
      </c>
      <c r="Q899">
        <v>1107230</v>
      </c>
      <c r="R899" t="s">
        <v>26</v>
      </c>
      <c r="S899" t="s">
        <v>74</v>
      </c>
      <c r="T899" t="s">
        <v>34</v>
      </c>
    </row>
    <row r="900" spans="1:20" x14ac:dyDescent="0.3">
      <c r="A900" t="s">
        <v>1230</v>
      </c>
      <c r="B900" s="1">
        <v>45662</v>
      </c>
      <c r="C900" s="1" t="s">
        <v>1321</v>
      </c>
      <c r="D900" t="s">
        <v>700</v>
      </c>
      <c r="E900" t="s">
        <v>48</v>
      </c>
      <c r="F900" t="s">
        <v>44</v>
      </c>
      <c r="G900" t="s">
        <v>59</v>
      </c>
      <c r="H900" t="s">
        <v>56</v>
      </c>
      <c r="I900">
        <v>128012</v>
      </c>
      <c r="J900">
        <v>0</v>
      </c>
      <c r="K900">
        <v>0</v>
      </c>
      <c r="L900">
        <v>0</v>
      </c>
      <c r="M900">
        <v>0</v>
      </c>
      <c r="N900">
        <v>722</v>
      </c>
      <c r="O900">
        <v>51</v>
      </c>
      <c r="P900" t="s">
        <v>25</v>
      </c>
      <c r="Q900">
        <v>2938426</v>
      </c>
      <c r="R900" t="s">
        <v>26</v>
      </c>
      <c r="S900" t="s">
        <v>27</v>
      </c>
      <c r="T900" t="s">
        <v>60</v>
      </c>
    </row>
    <row r="901" spans="1:20" x14ac:dyDescent="0.3">
      <c r="A901" t="s">
        <v>1231</v>
      </c>
      <c r="B901" s="1">
        <v>45810</v>
      </c>
      <c r="C901" s="1" t="s">
        <v>1326</v>
      </c>
      <c r="D901" t="s">
        <v>486</v>
      </c>
      <c r="E901" t="s">
        <v>21</v>
      </c>
      <c r="F901" t="s">
        <v>38</v>
      </c>
      <c r="G901" t="s">
        <v>23</v>
      </c>
      <c r="H901" t="s">
        <v>40</v>
      </c>
      <c r="I901">
        <v>0</v>
      </c>
      <c r="J901">
        <v>72843</v>
      </c>
      <c r="K901">
        <v>0</v>
      </c>
      <c r="L901">
        <v>0</v>
      </c>
      <c r="M901">
        <v>0</v>
      </c>
      <c r="N901">
        <v>780</v>
      </c>
      <c r="O901">
        <v>43</v>
      </c>
      <c r="P901" t="s">
        <v>25</v>
      </c>
      <c r="Q901">
        <v>410290</v>
      </c>
      <c r="R901" t="s">
        <v>49</v>
      </c>
      <c r="S901" t="s">
        <v>27</v>
      </c>
      <c r="T901" t="s">
        <v>41</v>
      </c>
    </row>
    <row r="902" spans="1:20" x14ac:dyDescent="0.3">
      <c r="A902" t="s">
        <v>1232</v>
      </c>
      <c r="B902" s="1">
        <v>45923</v>
      </c>
      <c r="C902" s="1" t="s">
        <v>1329</v>
      </c>
      <c r="D902" t="s">
        <v>122</v>
      </c>
      <c r="E902" t="s">
        <v>63</v>
      </c>
      <c r="F902" t="s">
        <v>22</v>
      </c>
      <c r="G902" t="s">
        <v>68</v>
      </c>
      <c r="H902" t="s">
        <v>52</v>
      </c>
      <c r="I902">
        <v>0</v>
      </c>
      <c r="J902">
        <v>0</v>
      </c>
      <c r="K902">
        <v>0</v>
      </c>
      <c r="L902">
        <v>26703</v>
      </c>
      <c r="M902">
        <v>0</v>
      </c>
      <c r="N902">
        <v>367</v>
      </c>
      <c r="O902">
        <v>59</v>
      </c>
      <c r="P902" t="s">
        <v>32</v>
      </c>
      <c r="Q902">
        <v>1019738</v>
      </c>
      <c r="R902" t="s">
        <v>26</v>
      </c>
      <c r="S902" t="s">
        <v>71</v>
      </c>
      <c r="T902" t="s">
        <v>45</v>
      </c>
    </row>
    <row r="903" spans="1:20" x14ac:dyDescent="0.3">
      <c r="A903" t="s">
        <v>1233</v>
      </c>
      <c r="B903" s="1">
        <v>45665</v>
      </c>
      <c r="C903" s="1" t="s">
        <v>1321</v>
      </c>
      <c r="D903" t="s">
        <v>996</v>
      </c>
      <c r="E903" t="s">
        <v>21</v>
      </c>
      <c r="F903" t="s">
        <v>64</v>
      </c>
      <c r="G903" t="s">
        <v>59</v>
      </c>
      <c r="H903" t="s">
        <v>31</v>
      </c>
      <c r="I903">
        <v>0</v>
      </c>
      <c r="J903">
        <v>0</v>
      </c>
      <c r="K903">
        <v>434188</v>
      </c>
      <c r="L903">
        <v>0</v>
      </c>
      <c r="M903">
        <v>0</v>
      </c>
      <c r="N903">
        <v>534</v>
      </c>
      <c r="O903">
        <v>54</v>
      </c>
      <c r="P903" t="s">
        <v>32</v>
      </c>
      <c r="Q903">
        <v>561047</v>
      </c>
      <c r="R903" t="s">
        <v>26</v>
      </c>
      <c r="S903" t="s">
        <v>65</v>
      </c>
      <c r="T903" t="s">
        <v>34</v>
      </c>
    </row>
    <row r="904" spans="1:20" x14ac:dyDescent="0.3">
      <c r="A904" t="s">
        <v>1234</v>
      </c>
      <c r="B904" s="1">
        <v>45680</v>
      </c>
      <c r="C904" s="1" t="s">
        <v>1321</v>
      </c>
      <c r="D904" t="s">
        <v>211</v>
      </c>
      <c r="E904" t="s">
        <v>21</v>
      </c>
      <c r="F904" t="s">
        <v>38</v>
      </c>
      <c r="G904" t="s">
        <v>23</v>
      </c>
      <c r="H904" t="s">
        <v>52</v>
      </c>
      <c r="I904">
        <v>0</v>
      </c>
      <c r="J904">
        <v>0</v>
      </c>
      <c r="K904">
        <v>0</v>
      </c>
      <c r="L904">
        <v>9474</v>
      </c>
      <c r="M904">
        <v>0</v>
      </c>
      <c r="N904">
        <v>700</v>
      </c>
      <c r="O904">
        <v>56</v>
      </c>
      <c r="P904" t="s">
        <v>25</v>
      </c>
      <c r="Q904">
        <v>2303338</v>
      </c>
      <c r="R904" t="s">
        <v>49</v>
      </c>
      <c r="S904" t="s">
        <v>33</v>
      </c>
      <c r="T904" t="s">
        <v>45</v>
      </c>
    </row>
    <row r="905" spans="1:20" x14ac:dyDescent="0.3">
      <c r="A905" t="s">
        <v>1235</v>
      </c>
      <c r="B905" s="1">
        <v>45959</v>
      </c>
      <c r="C905" s="1" t="s">
        <v>1330</v>
      </c>
      <c r="D905" t="s">
        <v>362</v>
      </c>
      <c r="E905" t="s">
        <v>63</v>
      </c>
      <c r="F905" t="s">
        <v>64</v>
      </c>
      <c r="G905" t="s">
        <v>68</v>
      </c>
      <c r="H905" t="s">
        <v>24</v>
      </c>
      <c r="I905">
        <v>0</v>
      </c>
      <c r="J905">
        <v>0</v>
      </c>
      <c r="K905">
        <v>0</v>
      </c>
      <c r="L905">
        <v>0</v>
      </c>
      <c r="M905">
        <v>3836.2</v>
      </c>
      <c r="N905">
        <v>512</v>
      </c>
      <c r="O905">
        <v>69</v>
      </c>
      <c r="P905" t="s">
        <v>32</v>
      </c>
      <c r="Q905">
        <v>2847282</v>
      </c>
      <c r="R905" t="s">
        <v>26</v>
      </c>
      <c r="S905" t="s">
        <v>27</v>
      </c>
      <c r="T905" t="s">
        <v>28</v>
      </c>
    </row>
    <row r="906" spans="1:20" x14ac:dyDescent="0.3">
      <c r="A906" t="s">
        <v>1236</v>
      </c>
      <c r="B906" s="1">
        <v>45887</v>
      </c>
      <c r="C906" s="1" t="s">
        <v>1328</v>
      </c>
      <c r="D906" t="s">
        <v>597</v>
      </c>
      <c r="E906" t="s">
        <v>21</v>
      </c>
      <c r="F906" t="s">
        <v>44</v>
      </c>
      <c r="G906" t="s">
        <v>59</v>
      </c>
      <c r="H906" t="s">
        <v>24</v>
      </c>
      <c r="I906">
        <v>0</v>
      </c>
      <c r="J906">
        <v>0</v>
      </c>
      <c r="K906">
        <v>0</v>
      </c>
      <c r="L906">
        <v>0</v>
      </c>
      <c r="M906">
        <v>9818.82</v>
      </c>
      <c r="N906">
        <v>526</v>
      </c>
      <c r="O906">
        <v>32</v>
      </c>
      <c r="P906" t="s">
        <v>25</v>
      </c>
      <c r="Q906">
        <v>474450</v>
      </c>
      <c r="R906" t="s">
        <v>26</v>
      </c>
      <c r="S906" t="s">
        <v>27</v>
      </c>
      <c r="T906" t="s">
        <v>34</v>
      </c>
    </row>
    <row r="907" spans="1:20" x14ac:dyDescent="0.3">
      <c r="A907" t="s">
        <v>1237</v>
      </c>
      <c r="B907" s="1">
        <v>45887</v>
      </c>
      <c r="C907" s="1" t="s">
        <v>1328</v>
      </c>
      <c r="D907" t="s">
        <v>1016</v>
      </c>
      <c r="E907" t="s">
        <v>37</v>
      </c>
      <c r="F907" t="s">
        <v>22</v>
      </c>
      <c r="G907" t="s">
        <v>23</v>
      </c>
      <c r="H907" t="s">
        <v>24</v>
      </c>
      <c r="I907">
        <v>0</v>
      </c>
      <c r="J907">
        <v>0</v>
      </c>
      <c r="K907">
        <v>0</v>
      </c>
      <c r="L907">
        <v>0</v>
      </c>
      <c r="M907">
        <v>776.5</v>
      </c>
      <c r="N907">
        <v>819</v>
      </c>
      <c r="O907">
        <v>52</v>
      </c>
      <c r="P907" t="s">
        <v>32</v>
      </c>
      <c r="Q907">
        <v>682107</v>
      </c>
      <c r="R907" t="s">
        <v>26</v>
      </c>
      <c r="S907" t="s">
        <v>27</v>
      </c>
      <c r="T907" t="s">
        <v>60</v>
      </c>
    </row>
    <row r="908" spans="1:20" x14ac:dyDescent="0.3">
      <c r="A908" t="s">
        <v>1238</v>
      </c>
      <c r="B908" s="1">
        <v>45998</v>
      </c>
      <c r="C908" s="1" t="s">
        <v>1332</v>
      </c>
      <c r="D908" t="s">
        <v>792</v>
      </c>
      <c r="E908" t="s">
        <v>48</v>
      </c>
      <c r="F908" t="s">
        <v>38</v>
      </c>
      <c r="G908" t="s">
        <v>39</v>
      </c>
      <c r="H908" t="s">
        <v>56</v>
      </c>
      <c r="I908">
        <v>11034</v>
      </c>
      <c r="J908">
        <v>0</v>
      </c>
      <c r="K908">
        <v>0</v>
      </c>
      <c r="L908">
        <v>0</v>
      </c>
      <c r="M908">
        <v>0</v>
      </c>
      <c r="N908">
        <v>549</v>
      </c>
      <c r="O908">
        <v>24</v>
      </c>
      <c r="P908" t="s">
        <v>25</v>
      </c>
      <c r="Q908">
        <v>2743059</v>
      </c>
      <c r="R908" t="s">
        <v>26</v>
      </c>
      <c r="S908" t="s">
        <v>27</v>
      </c>
      <c r="T908" t="s">
        <v>45</v>
      </c>
    </row>
    <row r="909" spans="1:20" x14ac:dyDescent="0.3">
      <c r="A909" t="s">
        <v>1239</v>
      </c>
      <c r="B909" s="1">
        <v>45693</v>
      </c>
      <c r="C909" s="1" t="s">
        <v>1322</v>
      </c>
      <c r="D909" t="s">
        <v>1016</v>
      </c>
      <c r="E909" t="s">
        <v>48</v>
      </c>
      <c r="F909" t="s">
        <v>22</v>
      </c>
      <c r="G909" t="s">
        <v>68</v>
      </c>
      <c r="H909" t="s">
        <v>52</v>
      </c>
      <c r="I909">
        <v>0</v>
      </c>
      <c r="J909">
        <v>0</v>
      </c>
      <c r="K909">
        <v>0</v>
      </c>
      <c r="L909">
        <v>20875</v>
      </c>
      <c r="M909">
        <v>0</v>
      </c>
      <c r="N909">
        <v>871</v>
      </c>
      <c r="O909">
        <v>56</v>
      </c>
      <c r="P909" t="s">
        <v>25</v>
      </c>
      <c r="Q909">
        <v>234798</v>
      </c>
      <c r="R909" t="s">
        <v>49</v>
      </c>
      <c r="S909" t="s">
        <v>74</v>
      </c>
      <c r="T909" t="s">
        <v>45</v>
      </c>
    </row>
    <row r="910" spans="1:20" x14ac:dyDescent="0.3">
      <c r="A910" t="s">
        <v>1240</v>
      </c>
      <c r="B910" s="1">
        <v>45713</v>
      </c>
      <c r="C910" s="1" t="s">
        <v>1322</v>
      </c>
      <c r="D910" t="s">
        <v>89</v>
      </c>
      <c r="E910" t="s">
        <v>55</v>
      </c>
      <c r="F910" t="s">
        <v>22</v>
      </c>
      <c r="G910" t="s">
        <v>39</v>
      </c>
      <c r="H910" t="s">
        <v>40</v>
      </c>
      <c r="I910">
        <v>0</v>
      </c>
      <c r="J910">
        <v>30110</v>
      </c>
      <c r="K910">
        <v>0</v>
      </c>
      <c r="L910">
        <v>0</v>
      </c>
      <c r="M910">
        <v>0</v>
      </c>
      <c r="N910">
        <v>534</v>
      </c>
      <c r="O910">
        <v>47</v>
      </c>
      <c r="P910" t="s">
        <v>32</v>
      </c>
      <c r="Q910">
        <v>1715748</v>
      </c>
      <c r="R910" t="s">
        <v>26</v>
      </c>
      <c r="S910" t="s">
        <v>27</v>
      </c>
      <c r="T910" t="s">
        <v>60</v>
      </c>
    </row>
    <row r="911" spans="1:20" x14ac:dyDescent="0.3">
      <c r="A911" t="s">
        <v>1241</v>
      </c>
      <c r="B911" s="1">
        <v>45866</v>
      </c>
      <c r="C911" s="1" t="s">
        <v>1327</v>
      </c>
      <c r="D911" t="s">
        <v>454</v>
      </c>
      <c r="E911" t="s">
        <v>55</v>
      </c>
      <c r="F911" t="s">
        <v>64</v>
      </c>
      <c r="G911" t="s">
        <v>39</v>
      </c>
      <c r="H911" t="s">
        <v>40</v>
      </c>
      <c r="I911">
        <v>0</v>
      </c>
      <c r="J911">
        <v>36470</v>
      </c>
      <c r="K911">
        <v>0</v>
      </c>
      <c r="L911">
        <v>0</v>
      </c>
      <c r="M911">
        <v>0</v>
      </c>
      <c r="N911">
        <v>465</v>
      </c>
      <c r="O911">
        <v>30</v>
      </c>
      <c r="P911" t="s">
        <v>25</v>
      </c>
      <c r="Q911">
        <v>2008878</v>
      </c>
      <c r="R911" t="s">
        <v>49</v>
      </c>
      <c r="S911" t="s">
        <v>27</v>
      </c>
      <c r="T911" t="s">
        <v>34</v>
      </c>
    </row>
    <row r="912" spans="1:20" x14ac:dyDescent="0.3">
      <c r="A912" t="s">
        <v>1242</v>
      </c>
      <c r="B912" s="1">
        <v>45879</v>
      </c>
      <c r="C912" s="1" t="s">
        <v>1328</v>
      </c>
      <c r="D912" t="s">
        <v>337</v>
      </c>
      <c r="E912" t="s">
        <v>48</v>
      </c>
      <c r="F912" t="s">
        <v>21</v>
      </c>
      <c r="G912" t="s">
        <v>39</v>
      </c>
      <c r="H912" t="s">
        <v>31</v>
      </c>
      <c r="I912">
        <v>0</v>
      </c>
      <c r="J912">
        <v>0</v>
      </c>
      <c r="K912">
        <v>1098060</v>
      </c>
      <c r="L912">
        <v>0</v>
      </c>
      <c r="M912">
        <v>0</v>
      </c>
      <c r="N912">
        <v>898</v>
      </c>
      <c r="O912">
        <v>64</v>
      </c>
      <c r="P912" t="s">
        <v>25</v>
      </c>
      <c r="Q912">
        <v>290604</v>
      </c>
      <c r="R912" t="s">
        <v>26</v>
      </c>
      <c r="S912" t="s">
        <v>65</v>
      </c>
      <c r="T912" t="s">
        <v>28</v>
      </c>
    </row>
    <row r="913" spans="1:20" x14ac:dyDescent="0.3">
      <c r="A913" t="s">
        <v>1243</v>
      </c>
      <c r="B913" s="1">
        <v>45736</v>
      </c>
      <c r="C913" s="1" t="s">
        <v>1323</v>
      </c>
      <c r="D913" t="s">
        <v>521</v>
      </c>
      <c r="E913" t="s">
        <v>77</v>
      </c>
      <c r="F913" t="s">
        <v>44</v>
      </c>
      <c r="G913" t="s">
        <v>59</v>
      </c>
      <c r="H913" t="s">
        <v>52</v>
      </c>
      <c r="I913">
        <v>0</v>
      </c>
      <c r="J913">
        <v>0</v>
      </c>
      <c r="K913">
        <v>0</v>
      </c>
      <c r="L913">
        <v>37548</v>
      </c>
      <c r="M913">
        <v>0</v>
      </c>
      <c r="N913">
        <v>713</v>
      </c>
      <c r="O913">
        <v>61</v>
      </c>
      <c r="P913" t="s">
        <v>32</v>
      </c>
      <c r="Q913">
        <v>2708958</v>
      </c>
      <c r="R913" t="s">
        <v>26</v>
      </c>
      <c r="S913" t="s">
        <v>71</v>
      </c>
      <c r="T913" t="s">
        <v>34</v>
      </c>
    </row>
    <row r="914" spans="1:20" x14ac:dyDescent="0.3">
      <c r="A914" t="s">
        <v>1244</v>
      </c>
      <c r="B914" s="1">
        <v>45975</v>
      </c>
      <c r="C914" s="1" t="s">
        <v>1331</v>
      </c>
      <c r="D914" t="s">
        <v>126</v>
      </c>
      <c r="E914" t="s">
        <v>77</v>
      </c>
      <c r="F914" t="s">
        <v>44</v>
      </c>
      <c r="G914" t="s">
        <v>68</v>
      </c>
      <c r="H914" t="s">
        <v>40</v>
      </c>
      <c r="I914">
        <v>0</v>
      </c>
      <c r="J914">
        <v>20963</v>
      </c>
      <c r="K914">
        <v>0</v>
      </c>
      <c r="L914">
        <v>0</v>
      </c>
      <c r="M914">
        <v>0</v>
      </c>
      <c r="N914">
        <v>768</v>
      </c>
      <c r="O914">
        <v>31</v>
      </c>
      <c r="P914" t="s">
        <v>25</v>
      </c>
      <c r="Q914">
        <v>204355</v>
      </c>
      <c r="R914" t="s">
        <v>49</v>
      </c>
      <c r="S914" t="s">
        <v>27</v>
      </c>
      <c r="T914" t="s">
        <v>45</v>
      </c>
    </row>
    <row r="915" spans="1:20" x14ac:dyDescent="0.3">
      <c r="A915" t="s">
        <v>1245</v>
      </c>
      <c r="B915" s="1">
        <v>45770</v>
      </c>
      <c r="C915" s="1" t="s">
        <v>1324</v>
      </c>
      <c r="D915" t="s">
        <v>986</v>
      </c>
      <c r="E915" t="s">
        <v>55</v>
      </c>
      <c r="F915" t="s">
        <v>22</v>
      </c>
      <c r="G915" t="s">
        <v>39</v>
      </c>
      <c r="H915" t="s">
        <v>31</v>
      </c>
      <c r="I915">
        <v>0</v>
      </c>
      <c r="J915">
        <v>0</v>
      </c>
      <c r="K915">
        <v>979293</v>
      </c>
      <c r="L915">
        <v>0</v>
      </c>
      <c r="M915">
        <v>0</v>
      </c>
      <c r="N915">
        <v>662</v>
      </c>
      <c r="O915">
        <v>69</v>
      </c>
      <c r="P915" t="s">
        <v>32</v>
      </c>
      <c r="Q915">
        <v>1553992</v>
      </c>
      <c r="R915" t="s">
        <v>49</v>
      </c>
      <c r="S915" t="s">
        <v>65</v>
      </c>
      <c r="T915" t="s">
        <v>28</v>
      </c>
    </row>
    <row r="916" spans="1:20" x14ac:dyDescent="0.3">
      <c r="A916" t="s">
        <v>1246</v>
      </c>
      <c r="B916" s="1">
        <v>45987</v>
      </c>
      <c r="C916" s="1" t="s">
        <v>1331</v>
      </c>
      <c r="D916" t="s">
        <v>173</v>
      </c>
      <c r="E916" t="s">
        <v>48</v>
      </c>
      <c r="F916" t="s">
        <v>38</v>
      </c>
      <c r="G916" t="s">
        <v>59</v>
      </c>
      <c r="H916" t="s">
        <v>56</v>
      </c>
      <c r="I916">
        <v>136848</v>
      </c>
      <c r="J916">
        <v>0</v>
      </c>
      <c r="K916">
        <v>0</v>
      </c>
      <c r="L916">
        <v>0</v>
      </c>
      <c r="M916">
        <v>0</v>
      </c>
      <c r="N916">
        <v>487</v>
      </c>
      <c r="O916">
        <v>44</v>
      </c>
      <c r="P916" t="s">
        <v>32</v>
      </c>
      <c r="Q916">
        <v>1718717</v>
      </c>
      <c r="R916" t="s">
        <v>49</v>
      </c>
      <c r="S916" t="s">
        <v>27</v>
      </c>
      <c r="T916" t="s">
        <v>28</v>
      </c>
    </row>
    <row r="917" spans="1:20" x14ac:dyDescent="0.3">
      <c r="A917" t="s">
        <v>1247</v>
      </c>
      <c r="B917" s="1">
        <v>45944</v>
      </c>
      <c r="C917" s="1" t="s">
        <v>1330</v>
      </c>
      <c r="D917" t="s">
        <v>620</v>
      </c>
      <c r="E917" t="s">
        <v>21</v>
      </c>
      <c r="F917" t="s">
        <v>64</v>
      </c>
      <c r="G917" t="s">
        <v>59</v>
      </c>
      <c r="H917" t="s">
        <v>52</v>
      </c>
      <c r="I917">
        <v>0</v>
      </c>
      <c r="J917">
        <v>0</v>
      </c>
      <c r="K917">
        <v>0</v>
      </c>
      <c r="L917">
        <v>49752</v>
      </c>
      <c r="M917">
        <v>0</v>
      </c>
      <c r="N917">
        <v>567</v>
      </c>
      <c r="O917">
        <v>54</v>
      </c>
      <c r="P917" t="s">
        <v>25</v>
      </c>
      <c r="Q917">
        <v>1142589</v>
      </c>
      <c r="R917" t="s">
        <v>26</v>
      </c>
      <c r="S917" t="s">
        <v>71</v>
      </c>
      <c r="T917" t="s">
        <v>60</v>
      </c>
    </row>
    <row r="918" spans="1:20" x14ac:dyDescent="0.3">
      <c r="A918" t="s">
        <v>1248</v>
      </c>
      <c r="B918" s="1">
        <v>45751</v>
      </c>
      <c r="C918" s="1" t="s">
        <v>1324</v>
      </c>
      <c r="D918" t="s">
        <v>332</v>
      </c>
      <c r="E918" t="s">
        <v>37</v>
      </c>
      <c r="F918" t="s">
        <v>38</v>
      </c>
      <c r="G918" t="s">
        <v>23</v>
      </c>
      <c r="H918" t="s">
        <v>56</v>
      </c>
      <c r="I918">
        <v>177327</v>
      </c>
      <c r="J918">
        <v>0</v>
      </c>
      <c r="K918">
        <v>0</v>
      </c>
      <c r="L918">
        <v>0</v>
      </c>
      <c r="M918">
        <v>0</v>
      </c>
      <c r="N918">
        <v>625</v>
      </c>
      <c r="O918">
        <v>62</v>
      </c>
      <c r="P918" t="s">
        <v>25</v>
      </c>
      <c r="Q918">
        <v>1061305</v>
      </c>
      <c r="R918" t="s">
        <v>49</v>
      </c>
      <c r="S918" t="s">
        <v>27</v>
      </c>
      <c r="T918" t="s">
        <v>34</v>
      </c>
    </row>
    <row r="919" spans="1:20" x14ac:dyDescent="0.3">
      <c r="A919" t="s">
        <v>1249</v>
      </c>
      <c r="B919" s="1">
        <v>45902</v>
      </c>
      <c r="C919" s="1" t="s">
        <v>1329</v>
      </c>
      <c r="D919" t="s">
        <v>553</v>
      </c>
      <c r="E919" t="s">
        <v>77</v>
      </c>
      <c r="F919" t="s">
        <v>38</v>
      </c>
      <c r="G919" t="s">
        <v>68</v>
      </c>
      <c r="H919" t="s">
        <v>40</v>
      </c>
      <c r="I919">
        <v>0</v>
      </c>
      <c r="J919">
        <v>24819</v>
      </c>
      <c r="K919">
        <v>0</v>
      </c>
      <c r="L919">
        <v>0</v>
      </c>
      <c r="M919">
        <v>0</v>
      </c>
      <c r="N919">
        <v>576</v>
      </c>
      <c r="O919">
        <v>21</v>
      </c>
      <c r="P919" t="s">
        <v>32</v>
      </c>
      <c r="Q919">
        <v>437003</v>
      </c>
      <c r="R919" t="s">
        <v>49</v>
      </c>
      <c r="S919" t="s">
        <v>27</v>
      </c>
      <c r="T919" t="s">
        <v>45</v>
      </c>
    </row>
    <row r="920" spans="1:20" x14ac:dyDescent="0.3">
      <c r="A920" t="s">
        <v>1250</v>
      </c>
      <c r="B920" s="1">
        <v>45865</v>
      </c>
      <c r="C920" s="1" t="s">
        <v>1327</v>
      </c>
      <c r="D920" t="s">
        <v>754</v>
      </c>
      <c r="E920" t="s">
        <v>37</v>
      </c>
      <c r="F920" t="s">
        <v>64</v>
      </c>
      <c r="G920" t="s">
        <v>68</v>
      </c>
      <c r="H920" t="s">
        <v>24</v>
      </c>
      <c r="I920">
        <v>0</v>
      </c>
      <c r="J920">
        <v>0</v>
      </c>
      <c r="K920">
        <v>0</v>
      </c>
      <c r="L920">
        <v>0</v>
      </c>
      <c r="M920">
        <v>1807.02</v>
      </c>
      <c r="N920">
        <v>543</v>
      </c>
      <c r="O920">
        <v>26</v>
      </c>
      <c r="P920" t="s">
        <v>32</v>
      </c>
      <c r="Q920">
        <v>884338</v>
      </c>
      <c r="R920" t="s">
        <v>26</v>
      </c>
      <c r="S920" t="s">
        <v>27</v>
      </c>
      <c r="T920" t="s">
        <v>28</v>
      </c>
    </row>
    <row r="921" spans="1:20" x14ac:dyDescent="0.3">
      <c r="A921" t="s">
        <v>1251</v>
      </c>
      <c r="B921" s="1">
        <v>45670</v>
      </c>
      <c r="C921" s="1" t="s">
        <v>1321</v>
      </c>
      <c r="D921" t="s">
        <v>698</v>
      </c>
      <c r="E921" t="s">
        <v>77</v>
      </c>
      <c r="F921" t="s">
        <v>64</v>
      </c>
      <c r="G921" t="s">
        <v>59</v>
      </c>
      <c r="H921" t="s">
        <v>56</v>
      </c>
      <c r="I921">
        <v>83713</v>
      </c>
      <c r="J921">
        <v>0</v>
      </c>
      <c r="K921">
        <v>0</v>
      </c>
      <c r="L921">
        <v>0</v>
      </c>
      <c r="M921">
        <v>0</v>
      </c>
      <c r="N921">
        <v>384</v>
      </c>
      <c r="O921">
        <v>34</v>
      </c>
      <c r="P921" t="s">
        <v>25</v>
      </c>
      <c r="Q921">
        <v>1458197</v>
      </c>
      <c r="R921" t="s">
        <v>49</v>
      </c>
      <c r="S921" t="s">
        <v>27</v>
      </c>
      <c r="T921" t="s">
        <v>34</v>
      </c>
    </row>
    <row r="922" spans="1:20" x14ac:dyDescent="0.3">
      <c r="A922" t="s">
        <v>1252</v>
      </c>
      <c r="B922" s="1">
        <v>45882</v>
      </c>
      <c r="C922" s="1" t="s">
        <v>1328</v>
      </c>
      <c r="D922" t="s">
        <v>553</v>
      </c>
      <c r="E922" t="s">
        <v>77</v>
      </c>
      <c r="F922" t="s">
        <v>22</v>
      </c>
      <c r="G922" t="s">
        <v>68</v>
      </c>
      <c r="H922" t="s">
        <v>56</v>
      </c>
      <c r="I922">
        <v>10535</v>
      </c>
      <c r="J922">
        <v>0</v>
      </c>
      <c r="K922">
        <v>0</v>
      </c>
      <c r="L922">
        <v>0</v>
      </c>
      <c r="M922">
        <v>0</v>
      </c>
      <c r="N922">
        <v>874</v>
      </c>
      <c r="O922">
        <v>21</v>
      </c>
      <c r="P922" t="s">
        <v>32</v>
      </c>
      <c r="Q922">
        <v>906743</v>
      </c>
      <c r="R922" t="s">
        <v>49</v>
      </c>
      <c r="S922" t="s">
        <v>27</v>
      </c>
      <c r="T922" t="s">
        <v>34</v>
      </c>
    </row>
    <row r="923" spans="1:20" x14ac:dyDescent="0.3">
      <c r="A923" t="s">
        <v>1253</v>
      </c>
      <c r="B923" s="1">
        <v>45961</v>
      </c>
      <c r="C923" s="1" t="s">
        <v>1330</v>
      </c>
      <c r="D923" t="s">
        <v>315</v>
      </c>
      <c r="E923" t="s">
        <v>63</v>
      </c>
      <c r="F923" t="s">
        <v>44</v>
      </c>
      <c r="G923" t="s">
        <v>23</v>
      </c>
      <c r="H923" t="s">
        <v>24</v>
      </c>
      <c r="I923">
        <v>0</v>
      </c>
      <c r="J923">
        <v>0</v>
      </c>
      <c r="K923">
        <v>0</v>
      </c>
      <c r="L923">
        <v>0</v>
      </c>
      <c r="M923">
        <v>3668.87</v>
      </c>
      <c r="N923">
        <v>503</v>
      </c>
      <c r="O923">
        <v>51</v>
      </c>
      <c r="P923" t="s">
        <v>25</v>
      </c>
      <c r="Q923">
        <v>2336037</v>
      </c>
      <c r="R923" t="s">
        <v>26</v>
      </c>
      <c r="S923" t="s">
        <v>27</v>
      </c>
      <c r="T923" t="s">
        <v>60</v>
      </c>
    </row>
    <row r="924" spans="1:20" x14ac:dyDescent="0.3">
      <c r="A924" t="s">
        <v>1254</v>
      </c>
      <c r="B924" s="1">
        <v>45710</v>
      </c>
      <c r="C924" s="1" t="s">
        <v>1322</v>
      </c>
      <c r="D924" t="s">
        <v>1255</v>
      </c>
      <c r="E924" t="s">
        <v>37</v>
      </c>
      <c r="F924" t="s">
        <v>44</v>
      </c>
      <c r="G924" t="s">
        <v>23</v>
      </c>
      <c r="H924" t="s">
        <v>31</v>
      </c>
      <c r="I924">
        <v>0</v>
      </c>
      <c r="J924">
        <v>0</v>
      </c>
      <c r="K924">
        <v>1620860</v>
      </c>
      <c r="L924">
        <v>0</v>
      </c>
      <c r="M924">
        <v>0</v>
      </c>
      <c r="N924">
        <v>500</v>
      </c>
      <c r="O924">
        <v>52</v>
      </c>
      <c r="P924" t="s">
        <v>32</v>
      </c>
      <c r="Q924">
        <v>447770</v>
      </c>
      <c r="R924" t="s">
        <v>26</v>
      </c>
      <c r="S924" t="s">
        <v>33</v>
      </c>
      <c r="T924" t="s">
        <v>34</v>
      </c>
    </row>
    <row r="925" spans="1:20" x14ac:dyDescent="0.3">
      <c r="A925" t="s">
        <v>1256</v>
      </c>
      <c r="B925" s="1">
        <v>45819</v>
      </c>
      <c r="C925" s="1" t="s">
        <v>1326</v>
      </c>
      <c r="D925" t="s">
        <v>136</v>
      </c>
      <c r="E925" t="s">
        <v>77</v>
      </c>
      <c r="F925" t="s">
        <v>21</v>
      </c>
      <c r="G925" t="s">
        <v>59</v>
      </c>
      <c r="H925" t="s">
        <v>40</v>
      </c>
      <c r="I925">
        <v>0</v>
      </c>
      <c r="J925">
        <v>76149</v>
      </c>
      <c r="K925">
        <v>0</v>
      </c>
      <c r="L925">
        <v>0</v>
      </c>
      <c r="M925">
        <v>0</v>
      </c>
      <c r="N925">
        <v>691</v>
      </c>
      <c r="O925">
        <v>23</v>
      </c>
      <c r="P925" t="s">
        <v>32</v>
      </c>
      <c r="Q925">
        <v>1530898</v>
      </c>
      <c r="R925" t="s">
        <v>26</v>
      </c>
      <c r="S925" t="s">
        <v>27</v>
      </c>
      <c r="T925" t="s">
        <v>28</v>
      </c>
    </row>
    <row r="926" spans="1:20" x14ac:dyDescent="0.3">
      <c r="A926" t="s">
        <v>1257</v>
      </c>
      <c r="B926" s="1">
        <v>45853</v>
      </c>
      <c r="C926" s="1" t="s">
        <v>1327</v>
      </c>
      <c r="D926" t="s">
        <v>134</v>
      </c>
      <c r="E926" t="s">
        <v>21</v>
      </c>
      <c r="F926" t="s">
        <v>44</v>
      </c>
      <c r="G926" t="s">
        <v>23</v>
      </c>
      <c r="H926" t="s">
        <v>56</v>
      </c>
      <c r="I926">
        <v>180377</v>
      </c>
      <c r="J926">
        <v>0</v>
      </c>
      <c r="K926">
        <v>0</v>
      </c>
      <c r="L926">
        <v>0</v>
      </c>
      <c r="M926">
        <v>0</v>
      </c>
      <c r="N926">
        <v>344</v>
      </c>
      <c r="O926">
        <v>37</v>
      </c>
      <c r="P926" t="s">
        <v>32</v>
      </c>
      <c r="Q926">
        <v>623482</v>
      </c>
      <c r="R926" t="s">
        <v>49</v>
      </c>
      <c r="S926" t="s">
        <v>27</v>
      </c>
      <c r="T926" t="s">
        <v>60</v>
      </c>
    </row>
    <row r="927" spans="1:20" x14ac:dyDescent="0.3">
      <c r="A927" t="s">
        <v>1258</v>
      </c>
      <c r="B927" s="1">
        <v>45912</v>
      </c>
      <c r="C927" s="1" t="s">
        <v>1329</v>
      </c>
      <c r="D927" t="s">
        <v>818</v>
      </c>
      <c r="E927" t="s">
        <v>48</v>
      </c>
      <c r="F927" t="s">
        <v>21</v>
      </c>
      <c r="G927" t="s">
        <v>59</v>
      </c>
      <c r="H927" t="s">
        <v>56</v>
      </c>
      <c r="I927">
        <v>65595</v>
      </c>
      <c r="J927">
        <v>0</v>
      </c>
      <c r="K927">
        <v>0</v>
      </c>
      <c r="L927">
        <v>0</v>
      </c>
      <c r="M927">
        <v>0</v>
      </c>
      <c r="N927">
        <v>582</v>
      </c>
      <c r="O927">
        <v>18</v>
      </c>
      <c r="P927" t="s">
        <v>32</v>
      </c>
      <c r="Q927">
        <v>857120</v>
      </c>
      <c r="R927" t="s">
        <v>49</v>
      </c>
      <c r="S927" t="s">
        <v>27</v>
      </c>
      <c r="T927" t="s">
        <v>28</v>
      </c>
    </row>
    <row r="928" spans="1:20" x14ac:dyDescent="0.3">
      <c r="A928" t="s">
        <v>1259</v>
      </c>
      <c r="B928" s="1">
        <v>45803</v>
      </c>
      <c r="C928" s="1" t="s">
        <v>1325</v>
      </c>
      <c r="D928" t="s">
        <v>132</v>
      </c>
      <c r="E928" t="s">
        <v>37</v>
      </c>
      <c r="F928" t="s">
        <v>22</v>
      </c>
      <c r="G928" t="s">
        <v>68</v>
      </c>
      <c r="H928" t="s">
        <v>40</v>
      </c>
      <c r="I928">
        <v>0</v>
      </c>
      <c r="J928">
        <v>2403</v>
      </c>
      <c r="K928">
        <v>0</v>
      </c>
      <c r="L928">
        <v>0</v>
      </c>
      <c r="M928">
        <v>0</v>
      </c>
      <c r="N928">
        <v>607</v>
      </c>
      <c r="O928">
        <v>27</v>
      </c>
      <c r="P928" t="s">
        <v>32</v>
      </c>
      <c r="Q928">
        <v>285766</v>
      </c>
      <c r="R928" t="s">
        <v>26</v>
      </c>
      <c r="S928" t="s">
        <v>27</v>
      </c>
      <c r="T928" t="s">
        <v>60</v>
      </c>
    </row>
    <row r="929" spans="1:20" x14ac:dyDescent="0.3">
      <c r="A929" t="s">
        <v>1260</v>
      </c>
      <c r="B929" s="1">
        <v>45820</v>
      </c>
      <c r="C929" s="1" t="s">
        <v>1326</v>
      </c>
      <c r="D929" t="s">
        <v>1261</v>
      </c>
      <c r="E929" t="s">
        <v>48</v>
      </c>
      <c r="F929" t="s">
        <v>64</v>
      </c>
      <c r="G929" t="s">
        <v>23</v>
      </c>
      <c r="H929" t="s">
        <v>56</v>
      </c>
      <c r="I929">
        <v>111362</v>
      </c>
      <c r="J929">
        <v>0</v>
      </c>
      <c r="K929">
        <v>0</v>
      </c>
      <c r="L929">
        <v>0</v>
      </c>
      <c r="M929">
        <v>0</v>
      </c>
      <c r="N929">
        <v>545</v>
      </c>
      <c r="O929">
        <v>64</v>
      </c>
      <c r="P929" t="s">
        <v>32</v>
      </c>
      <c r="Q929">
        <v>1904156</v>
      </c>
      <c r="R929" t="s">
        <v>26</v>
      </c>
      <c r="S929" t="s">
        <v>27</v>
      </c>
      <c r="T929" t="s">
        <v>28</v>
      </c>
    </row>
    <row r="930" spans="1:20" x14ac:dyDescent="0.3">
      <c r="A930" t="s">
        <v>1262</v>
      </c>
      <c r="B930" s="1">
        <v>45919</v>
      </c>
      <c r="C930" s="1" t="s">
        <v>1329</v>
      </c>
      <c r="D930" t="s">
        <v>161</v>
      </c>
      <c r="E930" t="s">
        <v>77</v>
      </c>
      <c r="F930" t="s">
        <v>44</v>
      </c>
      <c r="G930" t="s">
        <v>39</v>
      </c>
      <c r="H930" t="s">
        <v>24</v>
      </c>
      <c r="I930">
        <v>0</v>
      </c>
      <c r="J930">
        <v>0</v>
      </c>
      <c r="K930">
        <v>0</v>
      </c>
      <c r="L930">
        <v>0</v>
      </c>
      <c r="M930">
        <v>1991.08</v>
      </c>
      <c r="N930">
        <v>647</v>
      </c>
      <c r="O930">
        <v>42</v>
      </c>
      <c r="P930" t="s">
        <v>25</v>
      </c>
      <c r="Q930">
        <v>1704695</v>
      </c>
      <c r="R930" t="s">
        <v>26</v>
      </c>
      <c r="S930" t="s">
        <v>27</v>
      </c>
      <c r="T930" t="s">
        <v>28</v>
      </c>
    </row>
    <row r="931" spans="1:20" x14ac:dyDescent="0.3">
      <c r="A931" t="s">
        <v>1263</v>
      </c>
      <c r="B931" s="1">
        <v>45817</v>
      </c>
      <c r="C931" s="1" t="s">
        <v>1326</v>
      </c>
      <c r="D931" t="s">
        <v>495</v>
      </c>
      <c r="E931" t="s">
        <v>37</v>
      </c>
      <c r="F931" t="s">
        <v>44</v>
      </c>
      <c r="G931" t="s">
        <v>23</v>
      </c>
      <c r="H931" t="s">
        <v>56</v>
      </c>
      <c r="I931">
        <v>164306</v>
      </c>
      <c r="J931">
        <v>0</v>
      </c>
      <c r="K931">
        <v>0</v>
      </c>
      <c r="L931">
        <v>0</v>
      </c>
      <c r="M931">
        <v>0</v>
      </c>
      <c r="N931">
        <v>860</v>
      </c>
      <c r="O931">
        <v>64</v>
      </c>
      <c r="P931" t="s">
        <v>32</v>
      </c>
      <c r="Q931">
        <v>1620555</v>
      </c>
      <c r="R931" t="s">
        <v>26</v>
      </c>
      <c r="S931" t="s">
        <v>27</v>
      </c>
      <c r="T931" t="s">
        <v>28</v>
      </c>
    </row>
    <row r="932" spans="1:20" x14ac:dyDescent="0.3">
      <c r="A932" t="s">
        <v>1264</v>
      </c>
      <c r="B932" s="1">
        <v>45711</v>
      </c>
      <c r="C932" s="1" t="s">
        <v>1322</v>
      </c>
      <c r="D932" t="s">
        <v>1265</v>
      </c>
      <c r="E932" t="s">
        <v>37</v>
      </c>
      <c r="F932" t="s">
        <v>22</v>
      </c>
      <c r="G932" t="s">
        <v>23</v>
      </c>
      <c r="H932" t="s">
        <v>56</v>
      </c>
      <c r="I932">
        <v>51521</v>
      </c>
      <c r="J932">
        <v>0</v>
      </c>
      <c r="K932">
        <v>0</v>
      </c>
      <c r="L932">
        <v>0</v>
      </c>
      <c r="M932">
        <v>0</v>
      </c>
      <c r="N932">
        <v>801</v>
      </c>
      <c r="O932">
        <v>33</v>
      </c>
      <c r="P932" t="s">
        <v>25</v>
      </c>
      <c r="Q932">
        <v>1876667</v>
      </c>
      <c r="R932" t="s">
        <v>26</v>
      </c>
      <c r="S932" t="s">
        <v>27</v>
      </c>
      <c r="T932" t="s">
        <v>28</v>
      </c>
    </row>
    <row r="933" spans="1:20" x14ac:dyDescent="0.3">
      <c r="A933" t="s">
        <v>1266</v>
      </c>
      <c r="B933" s="1">
        <v>45786</v>
      </c>
      <c r="C933" s="1" t="s">
        <v>1325</v>
      </c>
      <c r="D933" t="s">
        <v>839</v>
      </c>
      <c r="E933" t="s">
        <v>77</v>
      </c>
      <c r="F933" t="s">
        <v>38</v>
      </c>
      <c r="G933" t="s">
        <v>39</v>
      </c>
      <c r="H933" t="s">
        <v>56</v>
      </c>
      <c r="I933">
        <v>167804</v>
      </c>
      <c r="J933">
        <v>0</v>
      </c>
      <c r="K933">
        <v>0</v>
      </c>
      <c r="L933">
        <v>0</v>
      </c>
      <c r="M933">
        <v>0</v>
      </c>
      <c r="N933">
        <v>874</v>
      </c>
      <c r="O933">
        <v>55</v>
      </c>
      <c r="P933" t="s">
        <v>32</v>
      </c>
      <c r="Q933">
        <v>280270</v>
      </c>
      <c r="R933" t="s">
        <v>49</v>
      </c>
      <c r="S933" t="s">
        <v>27</v>
      </c>
      <c r="T933" t="s">
        <v>28</v>
      </c>
    </row>
    <row r="934" spans="1:20" x14ac:dyDescent="0.3">
      <c r="A934" t="s">
        <v>1267</v>
      </c>
      <c r="B934" s="1">
        <v>45955</v>
      </c>
      <c r="C934" s="1" t="s">
        <v>1330</v>
      </c>
      <c r="D934" t="s">
        <v>462</v>
      </c>
      <c r="E934" t="s">
        <v>55</v>
      </c>
      <c r="F934" t="s">
        <v>21</v>
      </c>
      <c r="G934" t="s">
        <v>39</v>
      </c>
      <c r="H934" t="s">
        <v>56</v>
      </c>
      <c r="I934">
        <v>84346</v>
      </c>
      <c r="J934">
        <v>0</v>
      </c>
      <c r="K934">
        <v>0</v>
      </c>
      <c r="L934">
        <v>0</v>
      </c>
      <c r="M934">
        <v>0</v>
      </c>
      <c r="N934">
        <v>390</v>
      </c>
      <c r="O934">
        <v>49</v>
      </c>
      <c r="P934" t="s">
        <v>25</v>
      </c>
      <c r="Q934">
        <v>609250</v>
      </c>
      <c r="R934" t="s">
        <v>26</v>
      </c>
      <c r="S934" t="s">
        <v>27</v>
      </c>
      <c r="T934" t="s">
        <v>45</v>
      </c>
    </row>
    <row r="935" spans="1:20" x14ac:dyDescent="0.3">
      <c r="A935" t="s">
        <v>1268</v>
      </c>
      <c r="B935" s="1">
        <v>45750</v>
      </c>
      <c r="C935" s="1" t="s">
        <v>1324</v>
      </c>
      <c r="D935" t="s">
        <v>191</v>
      </c>
      <c r="E935" t="s">
        <v>48</v>
      </c>
      <c r="F935" t="s">
        <v>38</v>
      </c>
      <c r="G935" t="s">
        <v>59</v>
      </c>
      <c r="H935" t="s">
        <v>40</v>
      </c>
      <c r="I935">
        <v>0</v>
      </c>
      <c r="J935">
        <v>76507</v>
      </c>
      <c r="K935">
        <v>0</v>
      </c>
      <c r="L935">
        <v>0</v>
      </c>
      <c r="M935">
        <v>0</v>
      </c>
      <c r="N935">
        <v>527</v>
      </c>
      <c r="O935">
        <v>44</v>
      </c>
      <c r="P935" t="s">
        <v>32</v>
      </c>
      <c r="Q935">
        <v>2511941</v>
      </c>
      <c r="R935" t="s">
        <v>26</v>
      </c>
      <c r="S935" t="s">
        <v>27</v>
      </c>
      <c r="T935" t="s">
        <v>34</v>
      </c>
    </row>
    <row r="936" spans="1:20" x14ac:dyDescent="0.3">
      <c r="A936" t="s">
        <v>1269</v>
      </c>
      <c r="B936" s="1">
        <v>45676</v>
      </c>
      <c r="C936" s="1" t="s">
        <v>1321</v>
      </c>
      <c r="D936" t="s">
        <v>493</v>
      </c>
      <c r="E936" t="s">
        <v>48</v>
      </c>
      <c r="F936" t="s">
        <v>64</v>
      </c>
      <c r="G936" t="s">
        <v>59</v>
      </c>
      <c r="H936" t="s">
        <v>31</v>
      </c>
      <c r="I936">
        <v>0</v>
      </c>
      <c r="J936">
        <v>0</v>
      </c>
      <c r="K936">
        <v>280494</v>
      </c>
      <c r="L936">
        <v>0</v>
      </c>
      <c r="M936">
        <v>0</v>
      </c>
      <c r="N936">
        <v>396</v>
      </c>
      <c r="O936">
        <v>37</v>
      </c>
      <c r="P936" t="s">
        <v>25</v>
      </c>
      <c r="Q936">
        <v>842037</v>
      </c>
      <c r="R936" t="s">
        <v>26</v>
      </c>
      <c r="S936" t="s">
        <v>65</v>
      </c>
      <c r="T936" t="s">
        <v>34</v>
      </c>
    </row>
    <row r="937" spans="1:20" x14ac:dyDescent="0.3">
      <c r="A937" t="s">
        <v>1270</v>
      </c>
      <c r="B937" s="1">
        <v>45998</v>
      </c>
      <c r="C937" s="1" t="s">
        <v>1332</v>
      </c>
      <c r="D937" t="s">
        <v>244</v>
      </c>
      <c r="E937" t="s">
        <v>48</v>
      </c>
      <c r="F937" t="s">
        <v>64</v>
      </c>
      <c r="G937" t="s">
        <v>39</v>
      </c>
      <c r="H937" t="s">
        <v>24</v>
      </c>
      <c r="I937">
        <v>0</v>
      </c>
      <c r="J937">
        <v>0</v>
      </c>
      <c r="K937">
        <v>0</v>
      </c>
      <c r="L937">
        <v>0</v>
      </c>
      <c r="M937">
        <v>7467.67</v>
      </c>
      <c r="N937">
        <v>477</v>
      </c>
      <c r="O937">
        <v>19</v>
      </c>
      <c r="P937" t="s">
        <v>25</v>
      </c>
      <c r="Q937">
        <v>2431820</v>
      </c>
      <c r="R937" t="s">
        <v>26</v>
      </c>
      <c r="S937" t="s">
        <v>27</v>
      </c>
      <c r="T937" t="s">
        <v>60</v>
      </c>
    </row>
    <row r="938" spans="1:20" x14ac:dyDescent="0.3">
      <c r="A938" t="s">
        <v>1271</v>
      </c>
      <c r="B938" s="1">
        <v>45763</v>
      </c>
      <c r="C938" s="1" t="s">
        <v>1324</v>
      </c>
      <c r="D938" t="s">
        <v>493</v>
      </c>
      <c r="E938" t="s">
        <v>48</v>
      </c>
      <c r="F938" t="s">
        <v>21</v>
      </c>
      <c r="G938" t="s">
        <v>23</v>
      </c>
      <c r="H938" t="s">
        <v>40</v>
      </c>
      <c r="I938">
        <v>0</v>
      </c>
      <c r="J938">
        <v>3633</v>
      </c>
      <c r="K938">
        <v>0</v>
      </c>
      <c r="L938">
        <v>0</v>
      </c>
      <c r="M938">
        <v>0</v>
      </c>
      <c r="N938">
        <v>383</v>
      </c>
      <c r="O938">
        <v>55</v>
      </c>
      <c r="P938" t="s">
        <v>25</v>
      </c>
      <c r="Q938">
        <v>2050249</v>
      </c>
      <c r="R938" t="s">
        <v>49</v>
      </c>
      <c r="S938" t="s">
        <v>27</v>
      </c>
      <c r="T938" t="s">
        <v>41</v>
      </c>
    </row>
    <row r="939" spans="1:20" x14ac:dyDescent="0.3">
      <c r="A939" t="s">
        <v>1272</v>
      </c>
      <c r="B939" s="1">
        <v>45818</v>
      </c>
      <c r="C939" s="1" t="s">
        <v>1326</v>
      </c>
      <c r="D939" t="s">
        <v>20</v>
      </c>
      <c r="E939" t="s">
        <v>55</v>
      </c>
      <c r="F939" t="s">
        <v>64</v>
      </c>
      <c r="G939" t="s">
        <v>39</v>
      </c>
      <c r="H939" t="s">
        <v>31</v>
      </c>
      <c r="I939">
        <v>0</v>
      </c>
      <c r="J939">
        <v>0</v>
      </c>
      <c r="K939">
        <v>1107158</v>
      </c>
      <c r="L939">
        <v>0</v>
      </c>
      <c r="M939">
        <v>0</v>
      </c>
      <c r="N939">
        <v>790</v>
      </c>
      <c r="O939">
        <v>64</v>
      </c>
      <c r="P939" t="s">
        <v>32</v>
      </c>
      <c r="Q939">
        <v>1401512</v>
      </c>
      <c r="R939" t="s">
        <v>49</v>
      </c>
      <c r="S939" t="s">
        <v>65</v>
      </c>
      <c r="T939" t="s">
        <v>60</v>
      </c>
    </row>
    <row r="940" spans="1:20" x14ac:dyDescent="0.3">
      <c r="A940" t="s">
        <v>1273</v>
      </c>
      <c r="B940" s="1">
        <v>45815</v>
      </c>
      <c r="C940" s="1" t="s">
        <v>1326</v>
      </c>
      <c r="D940" t="s">
        <v>531</v>
      </c>
      <c r="E940" t="s">
        <v>77</v>
      </c>
      <c r="F940" t="s">
        <v>22</v>
      </c>
      <c r="G940" t="s">
        <v>59</v>
      </c>
      <c r="H940" t="s">
        <v>56</v>
      </c>
      <c r="I940">
        <v>91214</v>
      </c>
      <c r="J940">
        <v>0</v>
      </c>
      <c r="K940">
        <v>0</v>
      </c>
      <c r="L940">
        <v>0</v>
      </c>
      <c r="M940">
        <v>0</v>
      </c>
      <c r="N940">
        <v>875</v>
      </c>
      <c r="O940">
        <v>53</v>
      </c>
      <c r="P940" t="s">
        <v>32</v>
      </c>
      <c r="Q940">
        <v>1952204</v>
      </c>
      <c r="R940" t="s">
        <v>26</v>
      </c>
      <c r="S940" t="s">
        <v>27</v>
      </c>
      <c r="T940" t="s">
        <v>34</v>
      </c>
    </row>
    <row r="941" spans="1:20" x14ac:dyDescent="0.3">
      <c r="A941" t="s">
        <v>1274</v>
      </c>
      <c r="B941" s="1">
        <v>45978</v>
      </c>
      <c r="C941" s="1" t="s">
        <v>1331</v>
      </c>
      <c r="D941" t="s">
        <v>553</v>
      </c>
      <c r="E941" t="s">
        <v>63</v>
      </c>
      <c r="F941" t="s">
        <v>22</v>
      </c>
      <c r="G941" t="s">
        <v>23</v>
      </c>
      <c r="H941" t="s">
        <v>52</v>
      </c>
      <c r="I941">
        <v>0</v>
      </c>
      <c r="J941">
        <v>0</v>
      </c>
      <c r="K941">
        <v>0</v>
      </c>
      <c r="L941">
        <v>17623</v>
      </c>
      <c r="M941">
        <v>0</v>
      </c>
      <c r="N941">
        <v>820</v>
      </c>
      <c r="O941">
        <v>59</v>
      </c>
      <c r="P941" t="s">
        <v>25</v>
      </c>
      <c r="Q941">
        <v>1292933</v>
      </c>
      <c r="R941" t="s">
        <v>26</v>
      </c>
      <c r="S941" t="s">
        <v>33</v>
      </c>
      <c r="T941" t="s">
        <v>60</v>
      </c>
    </row>
    <row r="942" spans="1:20" x14ac:dyDescent="0.3">
      <c r="A942" t="s">
        <v>1275</v>
      </c>
      <c r="B942" s="1">
        <v>45884</v>
      </c>
      <c r="C942" s="1" t="s">
        <v>1328</v>
      </c>
      <c r="D942" t="s">
        <v>931</v>
      </c>
      <c r="E942" t="s">
        <v>55</v>
      </c>
      <c r="F942" t="s">
        <v>21</v>
      </c>
      <c r="G942" t="s">
        <v>59</v>
      </c>
      <c r="H942" t="s">
        <v>52</v>
      </c>
      <c r="I942">
        <v>0</v>
      </c>
      <c r="J942">
        <v>0</v>
      </c>
      <c r="K942">
        <v>0</v>
      </c>
      <c r="L942">
        <v>16211</v>
      </c>
      <c r="M942">
        <v>0</v>
      </c>
      <c r="N942">
        <v>527</v>
      </c>
      <c r="O942">
        <v>59</v>
      </c>
      <c r="P942" t="s">
        <v>32</v>
      </c>
      <c r="Q942">
        <v>1701342</v>
      </c>
      <c r="R942" t="s">
        <v>26</v>
      </c>
      <c r="S942" t="s">
        <v>71</v>
      </c>
      <c r="T942" t="s">
        <v>45</v>
      </c>
    </row>
    <row r="943" spans="1:20" x14ac:dyDescent="0.3">
      <c r="A943" t="s">
        <v>1276</v>
      </c>
      <c r="B943" s="1">
        <v>45805</v>
      </c>
      <c r="C943" s="1" t="s">
        <v>1325</v>
      </c>
      <c r="D943" t="s">
        <v>1277</v>
      </c>
      <c r="E943" t="s">
        <v>48</v>
      </c>
      <c r="F943" t="s">
        <v>22</v>
      </c>
      <c r="G943" t="s">
        <v>59</v>
      </c>
      <c r="H943" t="s">
        <v>24</v>
      </c>
      <c r="I943">
        <v>0</v>
      </c>
      <c r="J943">
        <v>0</v>
      </c>
      <c r="K943">
        <v>0</v>
      </c>
      <c r="L943">
        <v>0</v>
      </c>
      <c r="M943">
        <v>3934.18</v>
      </c>
      <c r="N943">
        <v>615</v>
      </c>
      <c r="O943">
        <v>60</v>
      </c>
      <c r="P943" t="s">
        <v>32</v>
      </c>
      <c r="Q943">
        <v>333383</v>
      </c>
      <c r="R943" t="s">
        <v>49</v>
      </c>
      <c r="S943" t="s">
        <v>27</v>
      </c>
      <c r="T943" t="s">
        <v>60</v>
      </c>
    </row>
    <row r="944" spans="1:20" x14ac:dyDescent="0.3">
      <c r="A944" t="s">
        <v>1278</v>
      </c>
      <c r="B944" s="1">
        <v>45971</v>
      </c>
      <c r="C944" s="1" t="s">
        <v>1331</v>
      </c>
      <c r="D944" t="s">
        <v>1279</v>
      </c>
      <c r="E944" t="s">
        <v>77</v>
      </c>
      <c r="F944" t="s">
        <v>21</v>
      </c>
      <c r="G944" t="s">
        <v>39</v>
      </c>
      <c r="H944" t="s">
        <v>56</v>
      </c>
      <c r="I944">
        <v>4496</v>
      </c>
      <c r="J944">
        <v>0</v>
      </c>
      <c r="K944">
        <v>0</v>
      </c>
      <c r="L944">
        <v>0</v>
      </c>
      <c r="M944">
        <v>0</v>
      </c>
      <c r="N944">
        <v>427</v>
      </c>
      <c r="O944">
        <v>31</v>
      </c>
      <c r="P944" t="s">
        <v>32</v>
      </c>
      <c r="Q944">
        <v>2025622</v>
      </c>
      <c r="R944" t="s">
        <v>49</v>
      </c>
      <c r="S944" t="s">
        <v>27</v>
      </c>
      <c r="T944" t="s">
        <v>28</v>
      </c>
    </row>
    <row r="945" spans="1:20" x14ac:dyDescent="0.3">
      <c r="A945" t="s">
        <v>1280</v>
      </c>
      <c r="B945" s="1">
        <v>45972</v>
      </c>
      <c r="C945" s="1" t="s">
        <v>1331</v>
      </c>
      <c r="D945" t="s">
        <v>457</v>
      </c>
      <c r="E945" t="s">
        <v>21</v>
      </c>
      <c r="F945" t="s">
        <v>21</v>
      </c>
      <c r="G945" t="s">
        <v>39</v>
      </c>
      <c r="H945" t="s">
        <v>40</v>
      </c>
      <c r="I945">
        <v>0</v>
      </c>
      <c r="J945">
        <v>74556</v>
      </c>
      <c r="K945">
        <v>0</v>
      </c>
      <c r="L945">
        <v>0</v>
      </c>
      <c r="M945">
        <v>0</v>
      </c>
      <c r="N945">
        <v>553</v>
      </c>
      <c r="O945">
        <v>62</v>
      </c>
      <c r="P945" t="s">
        <v>32</v>
      </c>
      <c r="Q945">
        <v>1925716</v>
      </c>
      <c r="R945" t="s">
        <v>26</v>
      </c>
      <c r="S945" t="s">
        <v>27</v>
      </c>
      <c r="T945" t="s">
        <v>41</v>
      </c>
    </row>
    <row r="946" spans="1:20" x14ac:dyDescent="0.3">
      <c r="A946" t="s">
        <v>1281</v>
      </c>
      <c r="B946" s="1">
        <v>45678</v>
      </c>
      <c r="C946" s="1" t="s">
        <v>1321</v>
      </c>
      <c r="D946" t="s">
        <v>996</v>
      </c>
      <c r="E946" t="s">
        <v>55</v>
      </c>
      <c r="F946" t="s">
        <v>21</v>
      </c>
      <c r="G946" t="s">
        <v>39</v>
      </c>
      <c r="H946" t="s">
        <v>56</v>
      </c>
      <c r="I946">
        <v>20316</v>
      </c>
      <c r="J946">
        <v>0</v>
      </c>
      <c r="K946">
        <v>0</v>
      </c>
      <c r="L946">
        <v>0</v>
      </c>
      <c r="M946">
        <v>0</v>
      </c>
      <c r="N946">
        <v>665</v>
      </c>
      <c r="O946">
        <v>36</v>
      </c>
      <c r="P946" t="s">
        <v>32</v>
      </c>
      <c r="Q946">
        <v>898263</v>
      </c>
      <c r="R946" t="s">
        <v>49</v>
      </c>
      <c r="S946" t="s">
        <v>27</v>
      </c>
      <c r="T946" t="s">
        <v>45</v>
      </c>
    </row>
    <row r="947" spans="1:20" x14ac:dyDescent="0.3">
      <c r="A947" t="s">
        <v>1282</v>
      </c>
      <c r="B947" s="1">
        <v>45943</v>
      </c>
      <c r="C947" s="1" t="s">
        <v>1330</v>
      </c>
      <c r="D947" t="s">
        <v>521</v>
      </c>
      <c r="E947" t="s">
        <v>77</v>
      </c>
      <c r="F947" t="s">
        <v>22</v>
      </c>
      <c r="G947" t="s">
        <v>68</v>
      </c>
      <c r="H947" t="s">
        <v>52</v>
      </c>
      <c r="I947">
        <v>0</v>
      </c>
      <c r="J947">
        <v>0</v>
      </c>
      <c r="K947">
        <v>0</v>
      </c>
      <c r="L947">
        <v>26195</v>
      </c>
      <c r="M947">
        <v>0</v>
      </c>
      <c r="N947">
        <v>454</v>
      </c>
      <c r="O947">
        <v>31</v>
      </c>
      <c r="P947" t="s">
        <v>25</v>
      </c>
      <c r="Q947">
        <v>2549214</v>
      </c>
      <c r="R947" t="s">
        <v>49</v>
      </c>
      <c r="S947" t="s">
        <v>71</v>
      </c>
      <c r="T947" t="s">
        <v>41</v>
      </c>
    </row>
    <row r="948" spans="1:20" x14ac:dyDescent="0.3">
      <c r="A948" t="s">
        <v>1283</v>
      </c>
      <c r="B948" s="1">
        <v>45956</v>
      </c>
      <c r="C948" s="1" t="s">
        <v>1330</v>
      </c>
      <c r="D948" t="s">
        <v>640</v>
      </c>
      <c r="E948" t="s">
        <v>77</v>
      </c>
      <c r="F948" t="s">
        <v>22</v>
      </c>
      <c r="G948" t="s">
        <v>23</v>
      </c>
      <c r="H948" t="s">
        <v>31</v>
      </c>
      <c r="I948">
        <v>0</v>
      </c>
      <c r="J948">
        <v>0</v>
      </c>
      <c r="K948">
        <v>62157</v>
      </c>
      <c r="L948">
        <v>0</v>
      </c>
      <c r="M948">
        <v>0</v>
      </c>
      <c r="N948">
        <v>639</v>
      </c>
      <c r="O948">
        <v>33</v>
      </c>
      <c r="P948" t="s">
        <v>32</v>
      </c>
      <c r="Q948">
        <v>1179618</v>
      </c>
      <c r="R948" t="s">
        <v>26</v>
      </c>
      <c r="S948" t="s">
        <v>33</v>
      </c>
      <c r="T948" t="s">
        <v>45</v>
      </c>
    </row>
    <row r="949" spans="1:20" x14ac:dyDescent="0.3">
      <c r="A949" t="s">
        <v>1284</v>
      </c>
      <c r="B949" s="1">
        <v>45733</v>
      </c>
      <c r="C949" s="1" t="s">
        <v>1323</v>
      </c>
      <c r="D949" t="s">
        <v>163</v>
      </c>
      <c r="E949" t="s">
        <v>48</v>
      </c>
      <c r="F949" t="s">
        <v>44</v>
      </c>
      <c r="G949" t="s">
        <v>68</v>
      </c>
      <c r="H949" t="s">
        <v>56</v>
      </c>
      <c r="I949">
        <v>100118</v>
      </c>
      <c r="J949">
        <v>0</v>
      </c>
      <c r="K949">
        <v>0</v>
      </c>
      <c r="L949">
        <v>0</v>
      </c>
      <c r="M949">
        <v>0</v>
      </c>
      <c r="N949">
        <v>305</v>
      </c>
      <c r="O949">
        <v>38</v>
      </c>
      <c r="P949" t="s">
        <v>25</v>
      </c>
      <c r="Q949">
        <v>480444</v>
      </c>
      <c r="R949" t="s">
        <v>26</v>
      </c>
      <c r="S949" t="s">
        <v>27</v>
      </c>
      <c r="T949" t="s">
        <v>45</v>
      </c>
    </row>
    <row r="950" spans="1:20" x14ac:dyDescent="0.3">
      <c r="A950" t="s">
        <v>1285</v>
      </c>
      <c r="B950" s="1">
        <v>45730</v>
      </c>
      <c r="C950" s="1" t="s">
        <v>1323</v>
      </c>
      <c r="D950" t="s">
        <v>258</v>
      </c>
      <c r="E950" t="s">
        <v>37</v>
      </c>
      <c r="F950" t="s">
        <v>22</v>
      </c>
      <c r="G950" t="s">
        <v>23</v>
      </c>
      <c r="H950" t="s">
        <v>31</v>
      </c>
      <c r="I950">
        <v>0</v>
      </c>
      <c r="J950">
        <v>0</v>
      </c>
      <c r="K950">
        <v>804333</v>
      </c>
      <c r="L950">
        <v>0</v>
      </c>
      <c r="M950">
        <v>0</v>
      </c>
      <c r="N950">
        <v>362</v>
      </c>
      <c r="O950">
        <v>53</v>
      </c>
      <c r="P950" t="s">
        <v>32</v>
      </c>
      <c r="Q950">
        <v>2568881</v>
      </c>
      <c r="R950" t="s">
        <v>26</v>
      </c>
      <c r="S950" t="s">
        <v>33</v>
      </c>
      <c r="T950" t="s">
        <v>41</v>
      </c>
    </row>
    <row r="951" spans="1:20" x14ac:dyDescent="0.3">
      <c r="A951" t="s">
        <v>1286</v>
      </c>
      <c r="B951" s="1">
        <v>45927</v>
      </c>
      <c r="C951" s="1" t="s">
        <v>1329</v>
      </c>
      <c r="D951" t="s">
        <v>426</v>
      </c>
      <c r="E951" t="s">
        <v>63</v>
      </c>
      <c r="F951" t="s">
        <v>22</v>
      </c>
      <c r="G951" t="s">
        <v>23</v>
      </c>
      <c r="H951" t="s">
        <v>56</v>
      </c>
      <c r="I951">
        <v>2369</v>
      </c>
      <c r="J951">
        <v>0</v>
      </c>
      <c r="K951">
        <v>0</v>
      </c>
      <c r="L951">
        <v>0</v>
      </c>
      <c r="M951">
        <v>0</v>
      </c>
      <c r="N951">
        <v>890</v>
      </c>
      <c r="O951">
        <v>18</v>
      </c>
      <c r="P951" t="s">
        <v>25</v>
      </c>
      <c r="Q951">
        <v>2606960</v>
      </c>
      <c r="R951" t="s">
        <v>26</v>
      </c>
      <c r="S951" t="s">
        <v>27</v>
      </c>
      <c r="T951" t="s">
        <v>45</v>
      </c>
    </row>
    <row r="952" spans="1:20" x14ac:dyDescent="0.3">
      <c r="A952" t="s">
        <v>1287</v>
      </c>
      <c r="B952" s="1">
        <v>45940</v>
      </c>
      <c r="C952" s="1" t="s">
        <v>1330</v>
      </c>
      <c r="D952" t="s">
        <v>663</v>
      </c>
      <c r="E952" t="s">
        <v>37</v>
      </c>
      <c r="F952" t="s">
        <v>44</v>
      </c>
      <c r="G952" t="s">
        <v>23</v>
      </c>
      <c r="H952" t="s">
        <v>24</v>
      </c>
      <c r="I952">
        <v>0</v>
      </c>
      <c r="J952">
        <v>0</v>
      </c>
      <c r="K952">
        <v>0</v>
      </c>
      <c r="L952">
        <v>0</v>
      </c>
      <c r="M952">
        <v>1279.48</v>
      </c>
      <c r="N952">
        <v>608</v>
      </c>
      <c r="O952">
        <v>60</v>
      </c>
      <c r="P952" t="s">
        <v>32</v>
      </c>
      <c r="Q952">
        <v>417926</v>
      </c>
      <c r="R952" t="s">
        <v>26</v>
      </c>
      <c r="S952" t="s">
        <v>27</v>
      </c>
      <c r="T952" t="s">
        <v>41</v>
      </c>
    </row>
    <row r="953" spans="1:20" x14ac:dyDescent="0.3">
      <c r="A953" t="s">
        <v>1288</v>
      </c>
      <c r="B953" s="1">
        <v>45897</v>
      </c>
      <c r="C953" s="1" t="s">
        <v>1328</v>
      </c>
      <c r="D953" t="s">
        <v>1289</v>
      </c>
      <c r="E953" t="s">
        <v>55</v>
      </c>
      <c r="F953" t="s">
        <v>38</v>
      </c>
      <c r="G953" t="s">
        <v>39</v>
      </c>
      <c r="H953" t="s">
        <v>24</v>
      </c>
      <c r="I953">
        <v>0</v>
      </c>
      <c r="J953">
        <v>0</v>
      </c>
      <c r="K953">
        <v>0</v>
      </c>
      <c r="L953">
        <v>0</v>
      </c>
      <c r="M953">
        <v>4932.47</v>
      </c>
      <c r="N953">
        <v>587</v>
      </c>
      <c r="O953">
        <v>36</v>
      </c>
      <c r="P953" t="s">
        <v>25</v>
      </c>
      <c r="Q953">
        <v>1882093</v>
      </c>
      <c r="R953" t="s">
        <v>49</v>
      </c>
      <c r="S953" t="s">
        <v>27</v>
      </c>
      <c r="T953" t="s">
        <v>28</v>
      </c>
    </row>
    <row r="954" spans="1:20" x14ac:dyDescent="0.3">
      <c r="A954" t="s">
        <v>1290</v>
      </c>
      <c r="B954" s="1">
        <v>45945</v>
      </c>
      <c r="C954" s="1" t="s">
        <v>1330</v>
      </c>
      <c r="D954" t="s">
        <v>695</v>
      </c>
      <c r="E954" t="s">
        <v>63</v>
      </c>
      <c r="F954" t="s">
        <v>21</v>
      </c>
      <c r="G954" t="s">
        <v>23</v>
      </c>
      <c r="H954" t="s">
        <v>31</v>
      </c>
      <c r="I954">
        <v>0</v>
      </c>
      <c r="J954">
        <v>0</v>
      </c>
      <c r="K954">
        <v>1469774</v>
      </c>
      <c r="L954">
        <v>0</v>
      </c>
      <c r="M954">
        <v>0</v>
      </c>
      <c r="N954">
        <v>369</v>
      </c>
      <c r="O954">
        <v>46</v>
      </c>
      <c r="P954" t="s">
        <v>32</v>
      </c>
      <c r="Q954">
        <v>2551137</v>
      </c>
      <c r="R954" t="s">
        <v>49</v>
      </c>
      <c r="S954" t="s">
        <v>65</v>
      </c>
      <c r="T954" t="s">
        <v>60</v>
      </c>
    </row>
    <row r="955" spans="1:20" x14ac:dyDescent="0.3">
      <c r="A955" t="s">
        <v>1291</v>
      </c>
      <c r="B955" s="1">
        <v>45823</v>
      </c>
      <c r="C955" s="1" t="s">
        <v>1326</v>
      </c>
      <c r="D955" t="s">
        <v>70</v>
      </c>
      <c r="E955" t="s">
        <v>63</v>
      </c>
      <c r="F955" t="s">
        <v>21</v>
      </c>
      <c r="G955" t="s">
        <v>39</v>
      </c>
      <c r="H955" t="s">
        <v>40</v>
      </c>
      <c r="I955">
        <v>0</v>
      </c>
      <c r="J955">
        <v>11240</v>
      </c>
      <c r="K955">
        <v>0</v>
      </c>
      <c r="L955">
        <v>0</v>
      </c>
      <c r="M955">
        <v>0</v>
      </c>
      <c r="N955">
        <v>610</v>
      </c>
      <c r="O955">
        <v>44</v>
      </c>
      <c r="P955" t="s">
        <v>32</v>
      </c>
      <c r="Q955">
        <v>1625144</v>
      </c>
      <c r="R955" t="s">
        <v>49</v>
      </c>
      <c r="S955" t="s">
        <v>27</v>
      </c>
      <c r="T955" t="s">
        <v>41</v>
      </c>
    </row>
    <row r="956" spans="1:20" x14ac:dyDescent="0.3">
      <c r="A956" t="s">
        <v>1292</v>
      </c>
      <c r="B956" s="1">
        <v>45714</v>
      </c>
      <c r="C956" s="1" t="s">
        <v>1322</v>
      </c>
      <c r="D956" t="s">
        <v>846</v>
      </c>
      <c r="E956" t="s">
        <v>77</v>
      </c>
      <c r="F956" t="s">
        <v>64</v>
      </c>
      <c r="G956" t="s">
        <v>68</v>
      </c>
      <c r="H956" t="s">
        <v>40</v>
      </c>
      <c r="I956">
        <v>0</v>
      </c>
      <c r="J956">
        <v>63887</v>
      </c>
      <c r="K956">
        <v>0</v>
      </c>
      <c r="L956">
        <v>0</v>
      </c>
      <c r="M956">
        <v>0</v>
      </c>
      <c r="N956">
        <v>716</v>
      </c>
      <c r="O956">
        <v>45</v>
      </c>
      <c r="P956" t="s">
        <v>32</v>
      </c>
      <c r="Q956">
        <v>2567232</v>
      </c>
      <c r="R956" t="s">
        <v>49</v>
      </c>
      <c r="S956" t="s">
        <v>27</v>
      </c>
      <c r="T956" t="s">
        <v>60</v>
      </c>
    </row>
    <row r="957" spans="1:20" x14ac:dyDescent="0.3">
      <c r="A957" t="s">
        <v>1293</v>
      </c>
      <c r="B957" s="1">
        <v>46011</v>
      </c>
      <c r="C957" s="1" t="s">
        <v>1332</v>
      </c>
      <c r="D957" t="s">
        <v>511</v>
      </c>
      <c r="E957" t="s">
        <v>63</v>
      </c>
      <c r="F957" t="s">
        <v>21</v>
      </c>
      <c r="G957" t="s">
        <v>23</v>
      </c>
      <c r="H957" t="s">
        <v>52</v>
      </c>
      <c r="I957">
        <v>0</v>
      </c>
      <c r="J957">
        <v>0</v>
      </c>
      <c r="K957">
        <v>0</v>
      </c>
      <c r="L957">
        <v>9970</v>
      </c>
      <c r="M957">
        <v>0</v>
      </c>
      <c r="N957">
        <v>729</v>
      </c>
      <c r="O957">
        <v>68</v>
      </c>
      <c r="P957" t="s">
        <v>25</v>
      </c>
      <c r="Q957">
        <v>1886751</v>
      </c>
      <c r="R957" t="s">
        <v>49</v>
      </c>
      <c r="S957" t="s">
        <v>33</v>
      </c>
      <c r="T957" t="s">
        <v>28</v>
      </c>
    </row>
    <row r="958" spans="1:20" x14ac:dyDescent="0.3">
      <c r="A958" t="s">
        <v>1294</v>
      </c>
      <c r="B958" s="1">
        <v>45893</v>
      </c>
      <c r="C958" s="1" t="s">
        <v>1328</v>
      </c>
      <c r="D958" t="s">
        <v>155</v>
      </c>
      <c r="E958" t="s">
        <v>55</v>
      </c>
      <c r="F958" t="s">
        <v>44</v>
      </c>
      <c r="G958" t="s">
        <v>39</v>
      </c>
      <c r="H958" t="s">
        <v>56</v>
      </c>
      <c r="I958">
        <v>97320</v>
      </c>
      <c r="J958">
        <v>0</v>
      </c>
      <c r="K958">
        <v>0</v>
      </c>
      <c r="L958">
        <v>0</v>
      </c>
      <c r="M958">
        <v>0</v>
      </c>
      <c r="N958">
        <v>763</v>
      </c>
      <c r="O958">
        <v>27</v>
      </c>
      <c r="P958" t="s">
        <v>32</v>
      </c>
      <c r="Q958">
        <v>866300</v>
      </c>
      <c r="R958" t="s">
        <v>49</v>
      </c>
      <c r="S958" t="s">
        <v>27</v>
      </c>
      <c r="T958" t="s">
        <v>45</v>
      </c>
    </row>
    <row r="959" spans="1:20" x14ac:dyDescent="0.3">
      <c r="A959" t="s">
        <v>1295</v>
      </c>
      <c r="B959" s="1">
        <v>45673</v>
      </c>
      <c r="C959" s="1" t="s">
        <v>1321</v>
      </c>
      <c r="D959" t="s">
        <v>136</v>
      </c>
      <c r="E959" t="s">
        <v>21</v>
      </c>
      <c r="F959" t="s">
        <v>38</v>
      </c>
      <c r="G959" t="s">
        <v>59</v>
      </c>
      <c r="H959" t="s">
        <v>24</v>
      </c>
      <c r="I959">
        <v>0</v>
      </c>
      <c r="J959">
        <v>0</v>
      </c>
      <c r="K959">
        <v>0</v>
      </c>
      <c r="L959">
        <v>0</v>
      </c>
      <c r="M959">
        <v>0</v>
      </c>
      <c r="N959">
        <v>809</v>
      </c>
      <c r="O959">
        <v>68</v>
      </c>
      <c r="P959" t="s">
        <v>25</v>
      </c>
      <c r="Q959">
        <v>2643965</v>
      </c>
      <c r="R959" t="s">
        <v>26</v>
      </c>
      <c r="S959" t="s">
        <v>27</v>
      </c>
      <c r="T959" t="s">
        <v>28</v>
      </c>
    </row>
    <row r="960" spans="1:20" x14ac:dyDescent="0.3">
      <c r="A960" t="s">
        <v>1296</v>
      </c>
      <c r="B960" s="1">
        <v>45848</v>
      </c>
      <c r="C960" s="1" t="s">
        <v>1327</v>
      </c>
      <c r="D960" t="s">
        <v>1016</v>
      </c>
      <c r="E960" t="s">
        <v>21</v>
      </c>
      <c r="F960" t="s">
        <v>21</v>
      </c>
      <c r="G960" t="s">
        <v>23</v>
      </c>
      <c r="H960" t="s">
        <v>24</v>
      </c>
      <c r="I960">
        <v>0</v>
      </c>
      <c r="J960">
        <v>0</v>
      </c>
      <c r="K960">
        <v>0</v>
      </c>
      <c r="L960">
        <v>0</v>
      </c>
      <c r="M960">
        <v>3870.19</v>
      </c>
      <c r="N960">
        <v>563</v>
      </c>
      <c r="O960">
        <v>31</v>
      </c>
      <c r="P960" t="s">
        <v>25</v>
      </c>
      <c r="Q960">
        <v>2334809</v>
      </c>
      <c r="R960" t="s">
        <v>26</v>
      </c>
      <c r="S960" t="s">
        <v>27</v>
      </c>
      <c r="T960" t="s">
        <v>34</v>
      </c>
    </row>
    <row r="961" spans="1:20" x14ac:dyDescent="0.3">
      <c r="A961" t="s">
        <v>1297</v>
      </c>
      <c r="B961" s="1">
        <v>45836</v>
      </c>
      <c r="C961" s="1" t="s">
        <v>1326</v>
      </c>
      <c r="D961" t="s">
        <v>884</v>
      </c>
      <c r="E961" t="s">
        <v>55</v>
      </c>
      <c r="F961" t="s">
        <v>44</v>
      </c>
      <c r="G961" t="s">
        <v>59</v>
      </c>
      <c r="H961" t="s">
        <v>52</v>
      </c>
      <c r="I961">
        <v>0</v>
      </c>
      <c r="J961">
        <v>0</v>
      </c>
      <c r="K961">
        <v>0</v>
      </c>
      <c r="L961">
        <v>5184</v>
      </c>
      <c r="M961">
        <v>0</v>
      </c>
      <c r="N961">
        <v>431</v>
      </c>
      <c r="O961">
        <v>29</v>
      </c>
      <c r="P961" t="s">
        <v>32</v>
      </c>
      <c r="Q961">
        <v>943986</v>
      </c>
      <c r="R961" t="s">
        <v>49</v>
      </c>
      <c r="S961" t="s">
        <v>27</v>
      </c>
      <c r="T961" t="s">
        <v>28</v>
      </c>
    </row>
    <row r="962" spans="1:20" x14ac:dyDescent="0.3">
      <c r="A962" t="s">
        <v>1298</v>
      </c>
      <c r="B962" s="1">
        <v>46021</v>
      </c>
      <c r="C962" s="1" t="s">
        <v>1332</v>
      </c>
      <c r="D962" t="s">
        <v>118</v>
      </c>
      <c r="E962" t="s">
        <v>63</v>
      </c>
      <c r="F962" t="s">
        <v>64</v>
      </c>
      <c r="G962" t="s">
        <v>68</v>
      </c>
      <c r="H962" t="s">
        <v>40</v>
      </c>
      <c r="I962">
        <v>0</v>
      </c>
      <c r="J962">
        <v>55110</v>
      </c>
      <c r="K962">
        <v>0</v>
      </c>
      <c r="L962">
        <v>0</v>
      </c>
      <c r="M962">
        <v>0</v>
      </c>
      <c r="N962">
        <v>340</v>
      </c>
      <c r="O962">
        <v>68</v>
      </c>
      <c r="P962" t="s">
        <v>25</v>
      </c>
      <c r="Q962">
        <v>2595718</v>
      </c>
      <c r="R962" t="s">
        <v>49</v>
      </c>
      <c r="S962" t="s">
        <v>27</v>
      </c>
      <c r="T962" t="s">
        <v>34</v>
      </c>
    </row>
    <row r="963" spans="1:20" x14ac:dyDescent="0.3">
      <c r="A963" t="s">
        <v>1299</v>
      </c>
      <c r="B963" s="1">
        <v>45852</v>
      </c>
      <c r="C963" s="1" t="s">
        <v>1327</v>
      </c>
      <c r="D963" t="s">
        <v>1300</v>
      </c>
      <c r="E963" t="s">
        <v>21</v>
      </c>
      <c r="F963" t="s">
        <v>38</v>
      </c>
      <c r="G963" t="s">
        <v>23</v>
      </c>
      <c r="H963" t="s">
        <v>52</v>
      </c>
      <c r="I963">
        <v>0</v>
      </c>
      <c r="J963">
        <v>0</v>
      </c>
      <c r="K963">
        <v>0</v>
      </c>
      <c r="L963">
        <v>30919</v>
      </c>
      <c r="M963">
        <v>0</v>
      </c>
      <c r="N963">
        <v>368</v>
      </c>
      <c r="O963">
        <v>21</v>
      </c>
      <c r="P963" t="s">
        <v>32</v>
      </c>
      <c r="Q963">
        <v>222644</v>
      </c>
      <c r="R963" t="s">
        <v>49</v>
      </c>
      <c r="S963" t="s">
        <v>71</v>
      </c>
      <c r="T963" t="s">
        <v>28</v>
      </c>
    </row>
    <row r="964" spans="1:20" x14ac:dyDescent="0.3">
      <c r="A964" t="s">
        <v>1301</v>
      </c>
      <c r="B964" s="1">
        <v>45759</v>
      </c>
      <c r="C964" s="1" t="s">
        <v>1324</v>
      </c>
      <c r="D964" t="s">
        <v>409</v>
      </c>
      <c r="E964" t="s">
        <v>77</v>
      </c>
      <c r="F964" t="s">
        <v>38</v>
      </c>
      <c r="G964" t="s">
        <v>39</v>
      </c>
      <c r="H964" t="s">
        <v>40</v>
      </c>
      <c r="I964">
        <v>0</v>
      </c>
      <c r="J964">
        <v>77064</v>
      </c>
      <c r="K964">
        <v>0</v>
      </c>
      <c r="L964">
        <v>0</v>
      </c>
      <c r="M964">
        <v>0</v>
      </c>
      <c r="N964">
        <v>687</v>
      </c>
      <c r="O964">
        <v>66</v>
      </c>
      <c r="P964" t="s">
        <v>25</v>
      </c>
      <c r="Q964">
        <v>732670</v>
      </c>
      <c r="R964" t="s">
        <v>26</v>
      </c>
      <c r="S964" t="s">
        <v>27</v>
      </c>
      <c r="T964" t="s">
        <v>28</v>
      </c>
    </row>
    <row r="965" spans="1:20" x14ac:dyDescent="0.3">
      <c r="A965" t="s">
        <v>1302</v>
      </c>
      <c r="B965" s="1">
        <v>45748</v>
      </c>
      <c r="C965" s="1" t="s">
        <v>1324</v>
      </c>
      <c r="D965" t="s">
        <v>990</v>
      </c>
      <c r="E965" t="s">
        <v>55</v>
      </c>
      <c r="F965" t="s">
        <v>21</v>
      </c>
      <c r="G965" t="s">
        <v>68</v>
      </c>
      <c r="H965" t="s">
        <v>56</v>
      </c>
      <c r="I965">
        <v>178959</v>
      </c>
      <c r="J965">
        <v>0</v>
      </c>
      <c r="K965">
        <v>0</v>
      </c>
      <c r="L965">
        <v>0</v>
      </c>
      <c r="M965">
        <v>0</v>
      </c>
      <c r="N965">
        <v>417</v>
      </c>
      <c r="O965">
        <v>40</v>
      </c>
      <c r="P965" t="s">
        <v>32</v>
      </c>
      <c r="Q965">
        <v>866543</v>
      </c>
      <c r="R965" t="s">
        <v>49</v>
      </c>
      <c r="S965" t="s">
        <v>27</v>
      </c>
      <c r="T965" t="s">
        <v>45</v>
      </c>
    </row>
    <row r="966" spans="1:20" x14ac:dyDescent="0.3">
      <c r="A966" t="s">
        <v>1303</v>
      </c>
      <c r="B966" s="1">
        <v>45673</v>
      </c>
      <c r="C966" s="1" t="s">
        <v>1321</v>
      </c>
      <c r="D966" t="s">
        <v>1304</v>
      </c>
      <c r="E966" t="s">
        <v>77</v>
      </c>
      <c r="F966" t="s">
        <v>21</v>
      </c>
      <c r="G966" t="s">
        <v>39</v>
      </c>
      <c r="H966" t="s">
        <v>24</v>
      </c>
      <c r="I966">
        <v>0</v>
      </c>
      <c r="J966">
        <v>0</v>
      </c>
      <c r="K966">
        <v>0</v>
      </c>
      <c r="L966">
        <v>0</v>
      </c>
      <c r="M966">
        <v>5311.69</v>
      </c>
      <c r="N966">
        <v>364</v>
      </c>
      <c r="O966">
        <v>49</v>
      </c>
      <c r="P966" t="s">
        <v>32</v>
      </c>
      <c r="Q966">
        <v>996752</v>
      </c>
      <c r="R966" t="s">
        <v>26</v>
      </c>
      <c r="S966" t="s">
        <v>27</v>
      </c>
      <c r="T966" t="s">
        <v>45</v>
      </c>
    </row>
    <row r="967" spans="1:20" x14ac:dyDescent="0.3">
      <c r="A967" t="s">
        <v>1305</v>
      </c>
      <c r="B967" s="1">
        <v>45986</v>
      </c>
      <c r="C967" s="1" t="s">
        <v>1331</v>
      </c>
      <c r="D967" t="s">
        <v>93</v>
      </c>
      <c r="E967" t="s">
        <v>77</v>
      </c>
      <c r="F967" t="s">
        <v>64</v>
      </c>
      <c r="G967" t="s">
        <v>39</v>
      </c>
      <c r="H967" t="s">
        <v>40</v>
      </c>
      <c r="I967">
        <v>0</v>
      </c>
      <c r="J967">
        <v>32638</v>
      </c>
      <c r="K967">
        <v>0</v>
      </c>
      <c r="L967">
        <v>0</v>
      </c>
      <c r="M967">
        <v>0</v>
      </c>
      <c r="N967">
        <v>897</v>
      </c>
      <c r="O967">
        <v>29</v>
      </c>
      <c r="P967" t="s">
        <v>32</v>
      </c>
      <c r="Q967">
        <v>1100458</v>
      </c>
      <c r="R967" t="s">
        <v>26</v>
      </c>
      <c r="S967" t="s">
        <v>27</v>
      </c>
      <c r="T967" t="s">
        <v>60</v>
      </c>
    </row>
    <row r="968" spans="1:20" x14ac:dyDescent="0.3">
      <c r="A968" t="s">
        <v>1306</v>
      </c>
      <c r="B968" s="1">
        <v>45922</v>
      </c>
      <c r="C968" s="1" t="s">
        <v>1329</v>
      </c>
      <c r="D968" t="s">
        <v>863</v>
      </c>
      <c r="E968" t="s">
        <v>55</v>
      </c>
      <c r="F968" t="s">
        <v>64</v>
      </c>
      <c r="G968" t="s">
        <v>39</v>
      </c>
      <c r="H968" t="s">
        <v>52</v>
      </c>
      <c r="I968">
        <v>0</v>
      </c>
      <c r="J968">
        <v>0</v>
      </c>
      <c r="K968">
        <v>0</v>
      </c>
      <c r="L968">
        <v>4519</v>
      </c>
      <c r="M968">
        <v>0</v>
      </c>
      <c r="N968">
        <v>572</v>
      </c>
      <c r="O968">
        <v>65</v>
      </c>
      <c r="P968" t="s">
        <v>32</v>
      </c>
      <c r="Q968">
        <v>734181</v>
      </c>
      <c r="R968" t="s">
        <v>49</v>
      </c>
      <c r="S968" t="s">
        <v>74</v>
      </c>
      <c r="T968" t="s">
        <v>34</v>
      </c>
    </row>
    <row r="969" spans="1:20" x14ac:dyDescent="0.3">
      <c r="A969" t="s">
        <v>1307</v>
      </c>
      <c r="B969" s="1">
        <v>45683</v>
      </c>
      <c r="C969" s="1" t="s">
        <v>1321</v>
      </c>
      <c r="D969" t="s">
        <v>760</v>
      </c>
      <c r="E969" t="s">
        <v>77</v>
      </c>
      <c r="F969" t="s">
        <v>22</v>
      </c>
      <c r="G969" t="s">
        <v>39</v>
      </c>
      <c r="H969" t="s">
        <v>31</v>
      </c>
      <c r="I969">
        <v>0</v>
      </c>
      <c r="J969">
        <v>0</v>
      </c>
      <c r="K969">
        <v>996854</v>
      </c>
      <c r="L969">
        <v>0</v>
      </c>
      <c r="M969">
        <v>0</v>
      </c>
      <c r="N969">
        <v>827</v>
      </c>
      <c r="O969">
        <v>52</v>
      </c>
      <c r="P969" t="s">
        <v>25</v>
      </c>
      <c r="Q969">
        <v>2534945</v>
      </c>
      <c r="R969" t="s">
        <v>49</v>
      </c>
      <c r="S969" t="s">
        <v>33</v>
      </c>
      <c r="T969" t="s">
        <v>28</v>
      </c>
    </row>
    <row r="970" spans="1:20" x14ac:dyDescent="0.3">
      <c r="A970" t="s">
        <v>1308</v>
      </c>
      <c r="B970" s="1">
        <v>45884</v>
      </c>
      <c r="C970" s="1" t="s">
        <v>1328</v>
      </c>
      <c r="D970" t="s">
        <v>493</v>
      </c>
      <c r="E970" t="s">
        <v>55</v>
      </c>
      <c r="F970" t="s">
        <v>38</v>
      </c>
      <c r="G970" t="s">
        <v>39</v>
      </c>
      <c r="H970" t="s">
        <v>52</v>
      </c>
      <c r="I970">
        <v>0</v>
      </c>
      <c r="J970">
        <v>0</v>
      </c>
      <c r="K970">
        <v>0</v>
      </c>
      <c r="L970">
        <v>21168</v>
      </c>
      <c r="M970">
        <v>0</v>
      </c>
      <c r="N970">
        <v>329</v>
      </c>
      <c r="O970">
        <v>22</v>
      </c>
      <c r="P970" t="s">
        <v>25</v>
      </c>
      <c r="Q970">
        <v>752739</v>
      </c>
      <c r="R970" t="s">
        <v>26</v>
      </c>
      <c r="S970" t="s">
        <v>71</v>
      </c>
      <c r="T970" t="s">
        <v>45</v>
      </c>
    </row>
    <row r="971" spans="1:20" x14ac:dyDescent="0.3">
      <c r="A971" t="s">
        <v>1309</v>
      </c>
      <c r="B971" s="1">
        <v>45841</v>
      </c>
      <c r="C971" s="1" t="s">
        <v>1327</v>
      </c>
      <c r="D971" t="s">
        <v>89</v>
      </c>
      <c r="E971" t="s">
        <v>77</v>
      </c>
      <c r="F971" t="s">
        <v>44</v>
      </c>
      <c r="G971" t="s">
        <v>68</v>
      </c>
      <c r="H971" t="s">
        <v>24</v>
      </c>
      <c r="I971">
        <v>0</v>
      </c>
      <c r="J971">
        <v>0</v>
      </c>
      <c r="K971">
        <v>0</v>
      </c>
      <c r="L971">
        <v>0</v>
      </c>
      <c r="M971">
        <v>1368.39</v>
      </c>
      <c r="N971">
        <v>819</v>
      </c>
      <c r="O971">
        <v>47</v>
      </c>
      <c r="P971" t="s">
        <v>32</v>
      </c>
      <c r="Q971">
        <v>230842</v>
      </c>
      <c r="R971" t="s">
        <v>26</v>
      </c>
      <c r="S971" t="s">
        <v>27</v>
      </c>
      <c r="T971" t="s">
        <v>45</v>
      </c>
    </row>
    <row r="972" spans="1:20" x14ac:dyDescent="0.3">
      <c r="A972" t="s">
        <v>1310</v>
      </c>
      <c r="B972" s="1">
        <v>45936</v>
      </c>
      <c r="C972" s="1" t="s">
        <v>1330</v>
      </c>
      <c r="D972" t="s">
        <v>606</v>
      </c>
      <c r="E972" t="s">
        <v>63</v>
      </c>
      <c r="F972" t="s">
        <v>64</v>
      </c>
      <c r="G972" t="s">
        <v>59</v>
      </c>
      <c r="H972" t="s">
        <v>52</v>
      </c>
      <c r="I972">
        <v>0</v>
      </c>
      <c r="J972">
        <v>0</v>
      </c>
      <c r="K972">
        <v>0</v>
      </c>
      <c r="L972">
        <v>39697</v>
      </c>
      <c r="M972">
        <v>0</v>
      </c>
      <c r="N972">
        <v>622</v>
      </c>
      <c r="O972">
        <v>39</v>
      </c>
      <c r="P972" t="s">
        <v>32</v>
      </c>
      <c r="Q972">
        <v>1919445</v>
      </c>
      <c r="R972" t="s">
        <v>49</v>
      </c>
      <c r="S972" t="s">
        <v>74</v>
      </c>
      <c r="T972" t="s">
        <v>45</v>
      </c>
    </row>
    <row r="973" spans="1:20" x14ac:dyDescent="0.3">
      <c r="A973" t="s">
        <v>1311</v>
      </c>
      <c r="B973" s="1">
        <v>45889</v>
      </c>
      <c r="C973" s="1" t="s">
        <v>1328</v>
      </c>
      <c r="D973" t="s">
        <v>145</v>
      </c>
      <c r="E973" t="s">
        <v>63</v>
      </c>
      <c r="F973" t="s">
        <v>64</v>
      </c>
      <c r="G973" t="s">
        <v>59</v>
      </c>
      <c r="H973" t="s">
        <v>31</v>
      </c>
      <c r="I973">
        <v>0</v>
      </c>
      <c r="J973">
        <v>0</v>
      </c>
      <c r="K973">
        <v>739722</v>
      </c>
      <c r="L973">
        <v>0</v>
      </c>
      <c r="M973">
        <v>0</v>
      </c>
      <c r="N973">
        <v>426</v>
      </c>
      <c r="O973">
        <v>69</v>
      </c>
      <c r="P973" t="s">
        <v>25</v>
      </c>
      <c r="Q973">
        <v>925868</v>
      </c>
      <c r="R973" t="s">
        <v>26</v>
      </c>
      <c r="S973" t="s">
        <v>33</v>
      </c>
      <c r="T973" t="s">
        <v>34</v>
      </c>
    </row>
    <row r="974" spans="1:20" x14ac:dyDescent="0.3">
      <c r="A974" t="s">
        <v>1312</v>
      </c>
      <c r="B974" s="1">
        <v>45845</v>
      </c>
      <c r="C974" s="1" t="s">
        <v>1327</v>
      </c>
      <c r="D974" t="s">
        <v>1067</v>
      </c>
      <c r="E974" t="s">
        <v>55</v>
      </c>
      <c r="F974" t="s">
        <v>44</v>
      </c>
      <c r="G974" t="s">
        <v>23</v>
      </c>
      <c r="H974" t="s">
        <v>52</v>
      </c>
      <c r="I974">
        <v>0</v>
      </c>
      <c r="J974">
        <v>0</v>
      </c>
      <c r="K974">
        <v>0</v>
      </c>
      <c r="L974">
        <v>25360</v>
      </c>
      <c r="M974">
        <v>0</v>
      </c>
      <c r="N974">
        <v>640</v>
      </c>
      <c r="O974">
        <v>26</v>
      </c>
      <c r="P974" t="s">
        <v>32</v>
      </c>
      <c r="Q974">
        <v>290596</v>
      </c>
      <c r="R974" t="s">
        <v>49</v>
      </c>
      <c r="S974" t="s">
        <v>33</v>
      </c>
      <c r="T974" t="s">
        <v>45</v>
      </c>
    </row>
    <row r="975" spans="1:20" x14ac:dyDescent="0.3">
      <c r="A975" t="s">
        <v>1313</v>
      </c>
      <c r="B975" s="1">
        <v>45741</v>
      </c>
      <c r="C975" s="1" t="s">
        <v>1323</v>
      </c>
      <c r="D975" t="s">
        <v>89</v>
      </c>
      <c r="E975" t="s">
        <v>77</v>
      </c>
      <c r="F975" t="s">
        <v>38</v>
      </c>
      <c r="G975" t="s">
        <v>23</v>
      </c>
      <c r="H975" t="s">
        <v>31</v>
      </c>
      <c r="I975">
        <v>0</v>
      </c>
      <c r="J975">
        <v>0</v>
      </c>
      <c r="K975">
        <v>1633793</v>
      </c>
      <c r="L975">
        <v>0</v>
      </c>
      <c r="M975">
        <v>0</v>
      </c>
      <c r="N975">
        <v>879</v>
      </c>
      <c r="O975">
        <v>49</v>
      </c>
      <c r="P975" t="s">
        <v>25</v>
      </c>
      <c r="Q975">
        <v>1471885</v>
      </c>
      <c r="R975" t="s">
        <v>26</v>
      </c>
      <c r="S975" t="s">
        <v>65</v>
      </c>
      <c r="T975" t="s">
        <v>45</v>
      </c>
    </row>
    <row r="976" spans="1:20" x14ac:dyDescent="0.3">
      <c r="A976" t="s">
        <v>1314</v>
      </c>
      <c r="B976" s="1">
        <v>45881</v>
      </c>
      <c r="C976" s="1" t="s">
        <v>1328</v>
      </c>
      <c r="D976" t="s">
        <v>475</v>
      </c>
      <c r="E976" t="s">
        <v>55</v>
      </c>
      <c r="F976" t="s">
        <v>44</v>
      </c>
      <c r="G976" t="s">
        <v>59</v>
      </c>
      <c r="H976" t="s">
        <v>52</v>
      </c>
      <c r="I976">
        <v>0</v>
      </c>
      <c r="J976">
        <v>0</v>
      </c>
      <c r="K976">
        <v>0</v>
      </c>
      <c r="L976">
        <v>26335</v>
      </c>
      <c r="M976">
        <v>0</v>
      </c>
      <c r="N976">
        <v>730</v>
      </c>
      <c r="O976">
        <v>30</v>
      </c>
      <c r="P976" t="s">
        <v>25</v>
      </c>
      <c r="Q976">
        <f>MEDIAN(201200,3000000)</f>
        <v>1600600</v>
      </c>
      <c r="R976" t="s">
        <v>49</v>
      </c>
      <c r="S976" t="s">
        <v>74</v>
      </c>
      <c r="T976" t="s">
        <v>45</v>
      </c>
    </row>
    <row r="977" spans="1:20" x14ac:dyDescent="0.3">
      <c r="A977" t="s">
        <v>1315</v>
      </c>
      <c r="B977" s="1">
        <v>46007</v>
      </c>
      <c r="C977" s="1" t="s">
        <v>1332</v>
      </c>
      <c r="D977" t="s">
        <v>47</v>
      </c>
      <c r="E977" t="s">
        <v>48</v>
      </c>
      <c r="F977" t="s">
        <v>44</v>
      </c>
      <c r="G977" t="s">
        <v>68</v>
      </c>
      <c r="H977" t="s">
        <v>31</v>
      </c>
      <c r="I977">
        <v>0</v>
      </c>
      <c r="J977">
        <v>0</v>
      </c>
      <c r="K977">
        <v>1975782</v>
      </c>
      <c r="L977">
        <v>0</v>
      </c>
      <c r="M977">
        <v>0</v>
      </c>
      <c r="N977">
        <v>472</v>
      </c>
      <c r="O977">
        <v>23</v>
      </c>
      <c r="P977" t="s">
        <v>32</v>
      </c>
      <c r="Q977">
        <v>2738984</v>
      </c>
      <c r="R977" t="s">
        <v>26</v>
      </c>
      <c r="S977" t="s">
        <v>33</v>
      </c>
      <c r="T977" t="s">
        <v>41</v>
      </c>
    </row>
    <row r="978" spans="1:20" x14ac:dyDescent="0.3">
      <c r="A978" t="s">
        <v>1316</v>
      </c>
      <c r="B978" s="1">
        <v>45954</v>
      </c>
      <c r="C978" s="1" t="s">
        <v>1330</v>
      </c>
      <c r="D978" t="s">
        <v>884</v>
      </c>
      <c r="E978" t="s">
        <v>37</v>
      </c>
      <c r="F978" t="s">
        <v>64</v>
      </c>
      <c r="G978" t="s">
        <v>59</v>
      </c>
      <c r="H978" t="s">
        <v>31</v>
      </c>
      <c r="I978">
        <v>0</v>
      </c>
      <c r="J978">
        <v>0</v>
      </c>
      <c r="K978">
        <v>1871491</v>
      </c>
      <c r="L978">
        <v>0</v>
      </c>
      <c r="M978">
        <v>0</v>
      </c>
      <c r="N978">
        <v>604</v>
      </c>
      <c r="O978">
        <v>49</v>
      </c>
      <c r="P978" t="s">
        <v>25</v>
      </c>
      <c r="Q978">
        <v>2736988</v>
      </c>
      <c r="R978" t="s">
        <v>26</v>
      </c>
      <c r="S978" t="s">
        <v>65</v>
      </c>
      <c r="T978" t="s">
        <v>34</v>
      </c>
    </row>
    <row r="979" spans="1:20" x14ac:dyDescent="0.3">
      <c r="A979" t="s">
        <v>1317</v>
      </c>
      <c r="B979" s="1">
        <v>45775</v>
      </c>
      <c r="C979" s="1" t="s">
        <v>1324</v>
      </c>
      <c r="D979" t="s">
        <v>578</v>
      </c>
      <c r="E979" t="s">
        <v>48</v>
      </c>
      <c r="F979" t="s">
        <v>64</v>
      </c>
      <c r="G979" t="s">
        <v>23</v>
      </c>
      <c r="H979" t="s">
        <v>56</v>
      </c>
      <c r="I979">
        <v>137085</v>
      </c>
      <c r="J979">
        <v>0</v>
      </c>
      <c r="K979">
        <v>0</v>
      </c>
      <c r="L979">
        <v>0</v>
      </c>
      <c r="M979">
        <v>0</v>
      </c>
      <c r="N979">
        <v>857</v>
      </c>
      <c r="O979">
        <v>41</v>
      </c>
      <c r="P979" t="s">
        <v>32</v>
      </c>
      <c r="Q979">
        <v>1811955</v>
      </c>
      <c r="R979" t="s">
        <v>49</v>
      </c>
      <c r="S979" t="s">
        <v>27</v>
      </c>
      <c r="T979" t="s">
        <v>41</v>
      </c>
    </row>
    <row r="980" spans="1:20" x14ac:dyDescent="0.3">
      <c r="A980" t="s">
        <v>1318</v>
      </c>
      <c r="B980" s="1">
        <v>45815</v>
      </c>
      <c r="C980" s="1" t="s">
        <v>1326</v>
      </c>
      <c r="D980" t="s">
        <v>140</v>
      </c>
      <c r="E980" t="s">
        <v>77</v>
      </c>
      <c r="F980" t="s">
        <v>38</v>
      </c>
      <c r="G980" t="s">
        <v>23</v>
      </c>
      <c r="H980" t="s">
        <v>56</v>
      </c>
      <c r="I980">
        <v>172940</v>
      </c>
      <c r="J980">
        <v>0</v>
      </c>
      <c r="K980">
        <v>0</v>
      </c>
      <c r="L980">
        <v>0</v>
      </c>
      <c r="M980">
        <v>0</v>
      </c>
      <c r="N980">
        <v>631</v>
      </c>
      <c r="O980">
        <v>55</v>
      </c>
      <c r="P980" t="s">
        <v>32</v>
      </c>
      <c r="Q980">
        <v>1111988</v>
      </c>
      <c r="R980" t="s">
        <v>26</v>
      </c>
      <c r="S980" t="s">
        <v>27</v>
      </c>
      <c r="T980" t="s">
        <v>45</v>
      </c>
    </row>
  </sheetData>
  <autoFilter ref="A1:T980"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Sheet4</vt:lpstr>
      <vt:lpstr>Sheet3</vt:lpstr>
      <vt:lpstr>Sheet2</vt:lpstr>
      <vt:lpstr>Sheet1</vt:lpstr>
      <vt:lpstr>Financial Dashboard</vt:lpstr>
      <vt:lpstr>Sheet5</vt:lpstr>
      <vt:lpstr>Sheet6</vt:lpstr>
      <vt:lpstr>Sheet7</vt:lpstr>
      <vt:lpstr>Sheet8</vt:lpstr>
      <vt:lpstr>Sheet9</vt:lpstr>
      <vt:lpstr>FinancialData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DIVY SHARMA</cp:lastModifiedBy>
  <dcterms:created xsi:type="dcterms:W3CDTF">2026-07-06T16:13:42Z</dcterms:created>
  <dcterms:modified xsi:type="dcterms:W3CDTF">2026-07-07T18:08:24Z</dcterms:modified>
</cp:coreProperties>
</file>